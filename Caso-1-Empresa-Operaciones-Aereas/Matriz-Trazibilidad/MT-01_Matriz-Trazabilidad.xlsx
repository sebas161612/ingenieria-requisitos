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114097F-98FB-4625-8C9B-31B82752BEB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E14" i="4"/>
  <c r="C14" i="4"/>
  <c r="A14" i="4"/>
  <c r="H10" i="4"/>
  <c r="G10" i="4"/>
  <c r="F10" i="4"/>
  <c r="E10" i="4"/>
  <c r="D10" i="4"/>
  <c r="C10" i="4"/>
  <c r="B10" i="4"/>
  <c r="A10" i="4"/>
  <c r="G5" i="4"/>
  <c r="E5" i="4"/>
  <c r="C5" i="4"/>
  <c r="N17" i="3"/>
  <c r="M17" i="3"/>
  <c r="L17" i="3"/>
  <c r="K17" i="3"/>
  <c r="J17" i="3"/>
  <c r="I17" i="3"/>
  <c r="H17" i="3"/>
  <c r="G17" i="3"/>
  <c r="F17" i="3"/>
  <c r="E17" i="3"/>
  <c r="D17" i="3"/>
  <c r="C17" i="3"/>
  <c r="I5" i="4"/>
  <c r="A5" i="4"/>
  <c r="A3" i="2"/>
  <c r="N3" i="2"/>
  <c r="A3" i="2" a="1"/>
  <c r="N3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<sst xmlns="http://schemas.openxmlformats.org/spreadsheetml/2006/main" count="510" uniqueCount="317">
  <si>
    <t>MATRIZ DE TRAZABILIDAD DE REQUISITOS</t>
  </si>
  <si>
    <t>Plantilla estándar para proyectos de desarrollo de software · Versión 1.0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</si>
  <si>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</si>
  <si>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</si>
  <si>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</si>
  <si>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</si>
  <si>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</si>
  <si>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</si>
  <si>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</si>
  <si>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</si>
  <si>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</si>
  <si>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</si>
  <si>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</si>
  <si>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</si>
  <si>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</si>
  <si>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</si>
  <si>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</si>
  <si>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</si>
  <si>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</si>
  <si>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</si>
  <si>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</si>
  <si>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</si>
  <si>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</si>
  <si>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</si>
  <si>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</si>
  <si>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</si>
  <si>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</si>
  <si>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</si>
  <si>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</si>
  <si>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</si>
  <si>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</si>
  <si>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</si>
  <si>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</si>
  <si>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</si>
  <si>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</si>
  <si>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</si>
  <si>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</si>
  <si>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</si>
  <si>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</si>
  <si>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</si>
  <si>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</si>
  <si>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</si>
  <si>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</si>
  <si>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Título del requisito</t>
  </si>
  <si>
    <t>Tipo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</si>
  <si>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</si>
  <si>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</si>
  <si>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</si>
  <si>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</si>
  <si>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</si>
  <si>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</si>
  <si>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</si>
  <si>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</si>
  <si>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</si>
  <si>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</si>
  <si>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Estado actual</t>
  </si>
  <si>
    <t>RFC asociada</t>
  </si>
  <si>
    <t>Última
actualización</t>
  </si>
  <si>
    <t>Notas / Observaciones</t>
  </si>
  <si>
    <t>REQ-001</t>
  </si>
  <si>
    <t>Funcional</t>
  </si>
  <si>
    <t>NEG-01</t>
  </si>
  <si>
    <t>Product Owner</t>
  </si>
  <si>
    <t>Must have</t>
  </si>
  <si>
    <t>Sprint 3</t>
  </si>
  <si>
    <t>María García</t>
  </si>
  <si>
    <t>2025-10-15</t>
  </si>
  <si>
    <t>Verificado</t>
  </si>
  <si>
    <t>RFC-017</t>
  </si>
  <si>
    <t>REQ-002</t>
  </si>
  <si>
    <t>TC-009</t>
  </si>
  <si>
    <t>REQ-003</t>
  </si>
  <si>
    <t>NEG-02</t>
  </si>
  <si>
    <t>Carlos López</t>
  </si>
  <si>
    <t>2025-11-01</t>
  </si>
  <si>
    <t>REQ-004</t>
  </si>
  <si>
    <t>NEG-03</t>
  </si>
  <si>
    <t>Arquitecto de soluciones</t>
  </si>
  <si>
    <t>Should have</t>
  </si>
  <si>
    <t>Sprint 7</t>
  </si>
  <si>
    <t>Ana Martínez</t>
  </si>
  <si>
    <t>2025-11-20</t>
  </si>
  <si>
    <t>RFC-020</t>
  </si>
  <si>
    <t>REQ-005</t>
  </si>
  <si>
    <t>SRS v1.0</t>
  </si>
  <si>
    <t>2025-10-22</t>
  </si>
  <si>
    <t>REQ-006</t>
  </si>
  <si>
    <t>NEG-05</t>
  </si>
  <si>
    <t>Luis Torres</t>
  </si>
  <si>
    <t>2025-11-10</t>
  </si>
  <si>
    <t>REQ-007</t>
  </si>
  <si>
    <t>REQ-008</t>
  </si>
  <si>
    <t>NEG-06</t>
  </si>
  <si>
    <t>TC-071</t>
  </si>
  <si>
    <t>2025-11-28</t>
  </si>
  <si>
    <t>En desarrollo</t>
  </si>
  <si>
    <t>RFC-022</t>
  </si>
  <si>
    <t>REQ-009</t>
  </si>
  <si>
    <t>REQ-010</t>
  </si>
  <si>
    <t>NEG-08</t>
  </si>
  <si>
    <t>Could have</t>
  </si>
  <si>
    <t>Propuesto</t>
  </si>
  <si>
    <t>2025-10-01</t>
  </si>
  <si>
    <t>REQ-011</t>
  </si>
  <si>
    <t>NEG-09</t>
  </si>
  <si>
    <t>Legal / Compliance</t>
  </si>
  <si>
    <t>Sprint 9</t>
  </si>
  <si>
    <t>TC-090</t>
  </si>
  <si>
    <t>2025-11-30</t>
  </si>
  <si>
    <t>RFC-023</t>
  </si>
  <si>
    <t>REQ-012</t>
  </si>
  <si>
    <t>TRAZABILIDAD VISUAL — Requisitos × Artefactos</t>
  </si>
  <si>
    <t>Necesidades</t>
  </si>
  <si>
    <t>Casos de prueba</t>
  </si>
  <si>
    <t>Módulos código</t>
  </si>
  <si>
    <t>ID Req.</t>
  </si>
  <si>
    <t>Título (abrev.)</t>
  </si>
  <si>
    <t>TC-007</t>
  </si>
  <si>
    <t>TC-021</t>
  </si>
  <si>
    <t>TC-040</t>
  </si>
  <si>
    <t>TC-055</t>
  </si>
  <si>
    <t>AuthSvc</t>
  </si>
  <si>
    <t>OrderCtrl</t>
  </si>
  <si>
    <t>GDPRSvc</t>
  </si>
  <si>
    <t>Autenticación usuario</t>
  </si>
  <si>
    <t>✓</t>
  </si>
  <si>
    <t>Cierre sesión automático</t>
  </si>
  <si>
    <t>MFA</t>
  </si>
  <si>
    <t>IdP externo (OAuth)</t>
  </si>
  <si>
    <t>Log intentos fallidos</t>
  </si>
  <si>
    <t>Crear pedido</t>
  </si>
  <si>
    <t>Email confirmación pedido</t>
  </si>
  <si>
    <t>Cancelar pedido</t>
  </si>
  <si>
    <t>Rendimiento catálogo</t>
  </si>
  <si>
    <t>Exportar CSV</t>
  </si>
  <si>
    <t>GDPR - derecho al olvido</t>
  </si>
  <si>
    <t>Anonimizar logs</t>
  </si>
  <si>
    <t>Cobertura total (%)</t>
  </si>
  <si>
    <t>RESUMEN Y MÉTRICAS — Dashboard de trazabilidad</t>
  </si>
  <si>
    <t>Las métricas se calculan automáticamente a partir de la hoja '📋 Matriz principal'</t>
  </si>
  <si>
    <t>Total requisitos</t>
  </si>
  <si>
    <t>Verificados</t>
  </si>
  <si>
    <t>Bloqueados / Fallidos</t>
  </si>
  <si>
    <t>Sin caso de prueba</t>
  </si>
  <si>
    <t>DISTRIBUCIÓN DE ESTADOS</t>
  </si>
  <si>
    <t>Aprobado</t>
  </si>
  <si>
    <t>Implementado</t>
  </si>
  <si>
    <t>Aplazado</t>
  </si>
  <si>
    <t>Rechazado</t>
  </si>
  <si>
    <t>Archivado</t>
  </si>
  <si>
    <t>DISTRIBUCIÓN POR PRIORIDAD (MoSCoW)</t>
  </si>
  <si>
    <t>Won't have</t>
  </si>
  <si>
    <t>ALERTAS DE COBERTURA — Requisitos sin caso de prueba asignado</t>
  </si>
  <si>
    <t>Título</t>
  </si>
  <si>
    <t>Prioridad</t>
  </si>
  <si>
    <t>Estado</t>
  </si>
  <si>
    <t>Responsable</t>
  </si>
  <si>
    <t>Sprint</t>
  </si>
  <si>
    <t>→ Filtra la hoja 'Matriz principal' por columna L (ID Caso de prueba) vacía para ver los requisitos sin cobertura de prueba.</t>
  </si>
  <si>
    <t>REGISTRO DE SOLICITUDES DE CAMBIO (RFC)</t>
  </si>
  <si>
    <t>ID RFC</t>
  </si>
  <si>
    <t>Título del cambio</t>
  </si>
  <si>
    <t>Solicitante</t>
  </si>
  <si>
    <t>Fecha solicitud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</si>
  <si>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</si>
  <si>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</si>
  <si>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</si>
  <si>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</si>
  <si>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</si>
  <si>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</si>
  <si>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</si>
  <si>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</si>
  <si>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Ampliar timeout de autenticación a 60 s</t>
  </si>
  <si>
    <t>2025-09-10</t>
  </si>
  <si>
    <t>Alta</t>
  </si>
  <si>
    <t>REQ-001, REQ-002</t>
  </si>
  <si>
    <t>SRS v3.2, TC-007, TC-008, TC-009, SessionManager</t>
  </si>
  <si>
    <t>Aprobada</t>
  </si>
  <si>
    <t>2025-09-17</t>
  </si>
  <si>
    <t>Implementada</t>
  </si>
  <si>
    <t>Motivada por incidencias de sesión en horarios pico.</t>
  </si>
  <si>
    <t>Integración con Google Workspace (OIDC)</t>
  </si>
  <si>
    <t>Media</t>
  </si>
  <si>
    <t>SRS v4.0, TC-040, TC-041, OAuthController</t>
  </si>
  <si>
    <t>2025-10-08</t>
  </si>
  <si>
    <t>Solicitada por cliente enterprise. Cumple OAuth 2.0.</t>
  </si>
  <si>
    <t>Corregir ventana de cancelación de pedido</t>
  </si>
  <si>
    <t>QA Lead</t>
  </si>
  <si>
    <t>2025-11-25</t>
  </si>
  <si>
    <t>OrderController.cancel(), TC-071, Plan sprint 10</t>
  </si>
  <si>
    <t>Sprint 10</t>
  </si>
  <si>
    <t>En análisis</t>
  </si>
  <si>
    <t>Bug detectado en TC-071. Ventana de 2 h calcula desde creación, no confirmación.</t>
  </si>
  <si>
    <t>GDPR: anonimización y eliminación de datos</t>
  </si>
  <si>
    <t>Crítica</t>
  </si>
  <si>
    <t>REQ-011, REQ-012</t>
  </si>
  <si>
    <t>GDPRService, AuditLogger, TC-090, TC-091, SRS v1.0</t>
  </si>
  <si>
    <t>Pendiente CCB</t>
  </si>
  <si>
    <t>Afecta a dos requisitos interdependientes. Análisis de impacto en curso.</t>
  </si>
  <si>
    <t>RFC-019</t>
  </si>
  <si>
    <t>Agregar módulo de BI para análisis de pedidos</t>
  </si>
  <si>
    <t>Director Comercial</t>
  </si>
  <si>
    <t>2025-09-20</t>
  </si>
  <si>
    <t>Ninguno (nuevo alcance)</t>
  </si>
  <si>
    <t>Plan de proyecto, presupuesto, arquitectura</t>
  </si>
  <si>
    <t>Rechazada</t>
  </si>
  <si>
    <t>2025-09-27</t>
  </si>
  <si>
    <t>Fuera del alcance v1.0. Se revisará para v2.0. Registrada para el backlog futuro.</t>
  </si>
  <si>
    <t>CATÁLOGO DE ARTEFACTOS</t>
  </si>
  <si>
    <t>ID Artefacto</t>
  </si>
  <si>
    <t>Nombre / Descripción</t>
  </si>
  <si>
    <t>Versión actual</t>
  </si>
  <si>
    <t>Propietario</t>
  </si>
  <si>
    <t>Última actualización</t>
  </si>
  <si>
    <t>Requisitos vinculados</t>
  </si>
  <si>
    <t>SRS-001</t>
  </si>
  <si>
    <t>Documento SRS</t>
  </si>
  <si>
    <t>SRS del Sistema de Autenticación</t>
  </si>
  <si>
    <t>v3.2</t>
  </si>
  <si>
    <t>REQ-001 a REQ-005</t>
  </si>
  <si>
    <t>SRS-002</t>
  </si>
  <si>
    <t>SRS del Módulo de Pedidos</t>
  </si>
  <si>
    <t>v2.1</t>
  </si>
  <si>
    <t>REQ-006 a REQ-009</t>
  </si>
  <si>
    <t>SRS-003</t>
  </si>
  <si>
    <t>SRS de Cumplimiento GDPR</t>
  </si>
  <si>
    <t>v1.0</t>
  </si>
  <si>
    <t>Caso de prueba</t>
  </si>
  <si>
    <t>Login exitoso con credenciales válidas</t>
  </si>
  <si>
    <t>v2.0</t>
  </si>
  <si>
    <t>TC-008</t>
  </si>
  <si>
    <t>Bloqueo tras 3 intentos fallidos</t>
  </si>
  <si>
    <t>REQ-001, REQ-005</t>
  </si>
  <si>
    <t>Expiración de sesión por inactividad</t>
  </si>
  <si>
    <t>v1.1</t>
  </si>
  <si>
    <t>Verificación MFA por TOTP</t>
  </si>
  <si>
    <t>Login con Azure AD (OIDC)</t>
  </si>
  <si>
    <t>Creación de pedido — flujo completo</t>
  </si>
  <si>
    <t>Cancelación de pedido en ventana válida</t>
  </si>
  <si>
    <t>Eliminar datos de usuario (GDPR)</t>
  </si>
  <si>
    <t>v0.1</t>
  </si>
  <si>
    <t>AUTH-MOD</t>
  </si>
  <si>
    <t>Módulo código</t>
  </si>
  <si>
    <t>AuthService + SessionManager</t>
  </si>
  <si>
    <t>3.2.1</t>
  </si>
  <si>
    <t>OAUTH-CTL</t>
  </si>
  <si>
    <t>OAuthController (OIDC callbacks)</t>
  </si>
  <si>
    <t>4.0.0</t>
  </si>
  <si>
    <t>AUDIT-LOG</t>
  </si>
  <si>
    <t>AuditLogger (intentos de acceso)</t>
  </si>
  <si>
    <t>1.0.5</t>
  </si>
  <si>
    <t>ORDER-CTL</t>
  </si>
  <si>
    <t>OrderController (CRUD pedidos)</t>
  </si>
  <si>
    <t>2.1.3</t>
  </si>
  <si>
    <t>GDPR-SVC</t>
  </si>
  <si>
    <t>GDPRService (eliminación/anonimización)</t>
  </si>
  <si>
    <t>0.9.0</t>
  </si>
  <si>
    <t>API-AUTH</t>
  </si>
  <si>
    <t>Especificación API</t>
  </si>
  <si>
    <t>OpenAPI — Auth endpoints</t>
  </si>
  <si>
    <t>Arquitecto</t>
  </si>
  <si>
    <t>REQ-001, REQ-003, REQ-004</t>
  </si>
  <si>
    <t>API-ORDER</t>
  </si>
  <si>
    <t>OpenAPI — Order endpoints</t>
  </si>
  <si>
    <t>REQ-006 a REQ-008</t>
  </si>
  <si>
    <t>PLAN-V1</t>
  </si>
  <si>
    <t>Plan de proyecto</t>
  </si>
  <si>
    <t>Plan de proyecto versión 1.0</t>
  </si>
  <si>
    <t>v1.5</t>
  </si>
  <si>
    <t>PM</t>
  </si>
  <si>
    <t>Todos</t>
  </si>
  <si>
    <t>MAN-USR</t>
  </si>
  <si>
    <t>Manual usuario</t>
  </si>
  <si>
    <t>Guía de usuario final — Autenticación</t>
  </si>
  <si>
    <t>Técnico doc.</t>
  </si>
  <si>
    <t>2025-10-20</t>
  </si>
  <si>
    <t>REQ-001, REQ-002, REQ-003</t>
  </si>
  <si>
    <t>Registrar usuarios y gestionar acceso</t>
  </si>
  <si>
    <t>NEG-12</t>
  </si>
  <si>
    <t>Personal administrativo</t>
  </si>
  <si>
    <t>El sistema permite registrar usuarios, asociarles un rol, gestionar sus credenciales y permitir el acceso a las funciones correspondientes según el rol.</t>
  </si>
  <si>
    <t>Sprint 1</t>
  </si>
  <si>
    <t>Gestionar pilotos, copilotos y tripulaciones</t>
  </si>
  <si>
    <t>El sistema permite registrar y actualizar la información de pilotos, copilotos y tripulaciones, manteniéndola disponible para apoyar el proceso de asignación de vuelos.</t>
  </si>
  <si>
    <t>Sin asignar</t>
  </si>
  <si>
    <t>Sprint 2</t>
  </si>
  <si>
    <t>Gestionar información de vuelos</t>
  </si>
  <si>
    <t>El sistema permite registrar, actualizar y consultar la información de los vuelos, incluyendo las características correspondientes a cada vuelo.</t>
  </si>
  <si>
    <t>Gestionar escenarios y resultados del simulador</t>
  </si>
  <si>
    <t>NEG-11</t>
  </si>
  <si>
    <t>El sistema permite registrar y actualizar escenarios de simulación y resultados de las pruebas de los pilotos, incluyendo el puntaje y resultado obtenido, conservando la información asociada a cada piloto y escenario.</t>
  </si>
  <si>
    <t>Consultar vuelos asignados</t>
  </si>
  <si>
    <t>Piloto o copiloto</t>
  </si>
  <si>
    <t>El sistema permite a pilotos y copilotos consultar sus vuelos asignados y visualizar la información asociada a cada vuelo.</t>
  </si>
  <si>
    <t>Consultar escenarios y evaluaciones</t>
  </si>
  <si>
    <t xml:space="preserve">Piloto </t>
  </si>
  <si>
    <t>El sistema permite al piloto consultar los escenarios estándar y sus evaluaciones, mostrando el puntaje o resultado correspondiente a cada escenario.</t>
  </si>
  <si>
    <t>Consultar información y condiciones de vuelo</t>
  </si>
  <si>
    <t>NEG-03, NEG-10</t>
  </si>
  <si>
    <t>El sistema permite a pilotos y copilotos consultar la información de cualquier vuelo, incluyendo fecha, origen, destino y condiciones meteorológicas y de visibilidad previstas.</t>
  </si>
  <si>
    <t>Asignar la tripulación más adecuada</t>
  </si>
  <si>
    <t>Operador de vuelos</t>
  </si>
  <si>
    <t>El sistema permite al operador seleccionar un vuelo, consultar sus características y condiciones, identificar el escenario de simulación más aproximado, consultar las evaluaciones de los pilotos y apoyar la selección y asignación de la tripulación más adecuada.</t>
  </si>
  <si>
    <t>Consultar información para recomendaciones de asignación</t>
  </si>
  <si>
    <t>El sistema permite consultar los registros de recomendaciones y los datos de las pruebas del simulador, incluyendo el puntaje y resultado obtenido por los pilotos, para sustentar las decisiones de asignación de tripulaciones.</t>
  </si>
  <si>
    <t>Consultar registros y métricas operacionales</t>
  </si>
  <si>
    <t>El sistema permite consultar registros operacionales y métricas relacionadas con el desempeño de tripulantes y operadores, proporcionando información para auditoría, seguimiento operacional y definición y seguimiento de indicadores KPI.</t>
  </si>
  <si>
    <t>RFC-04</t>
  </si>
  <si>
    <t>RFC-01, RFC-03, RFC-04, RFC-05, RFC-06</t>
  </si>
  <si>
    <t>Requiere incorporar las horas de vuelo reales acumuladas de los pilotos como información gestionada por el sistema para apoyar la nueva fórmula de asignación.</t>
  </si>
  <si>
    <t>El requisito presenta múltiples cambios propuestos sobre la lógica de selección de escenarios y asignación de tripulaciones. Las modificaciones deben ser evaluadas antes de determinar su implementación.</t>
  </si>
  <si>
    <t>Notificar asignación de tripulación</t>
  </si>
  <si>
    <t>Por definir</t>
  </si>
  <si>
    <t>SRS v1.1</t>
  </si>
  <si>
    <t>RFC-02</t>
  </si>
  <si>
    <t>El sistema debe generar y enviar automáticamente una notificación al momento de realizar una asignación de tripulación, utilizando los canales de comunicación definidos, como Teams o correo electrónico.</t>
  </si>
  <si>
    <t>Requisito incorporado a partir de la RFC-02 para automatizar la notificación de las asignaciones de tripulación. No estaba contemplado en las historias de usuario iniciales y se incorpora como nuevo requisito en la versión SRS v1.1.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</si>
</sst>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Roboto"/>
      <family val="2"/>
      <scheme val="minor"/>
    </font>
    <font>
      <b/>
      <sz val="18"/>
      <color rgb="FFFFFFFF"/>
      <name val="Arial"/>
      <family val="2"/>
    </font>
    <font>
      <b/>
      <sz val="11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993556"/>
      <name val="Arial"/>
      <family val="2"/>
    </font>
    <font>
      <b/>
      <sz val="9"/>
      <color rgb="FF27500A"/>
      <name val="Arial"/>
      <family val="2"/>
    </font>
    <font>
      <sz val="9"/>
      <color rgb="FF555555"/>
      <name val="Arial"/>
      <family val="2"/>
    </font>
    <font>
      <b/>
      <sz val="9"/>
      <color rgb="FF633806"/>
      <name val="Arial"/>
      <family val="2"/>
    </font>
    <font>
      <b/>
      <sz val="9"/>
      <color rgb="FF791F1F"/>
      <name val="Arial"/>
      <family val="2"/>
    </font>
    <font>
      <b/>
      <sz val="9"/>
      <color rgb="FF0C447C"/>
      <name val="Arial"/>
      <family val="2"/>
    </font>
    <font>
      <b/>
      <sz val="9"/>
      <color rgb="FF3C3489"/>
      <name val="Arial"/>
      <family val="2"/>
    </font>
    <font>
      <b/>
      <sz val="9"/>
      <color rgb="FF88878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1A1A"/>
      <name val="Arial"/>
      <family val="2"/>
    </font>
    <font>
      <b/>
      <sz val="8"/>
      <color rgb="FFFFFFFF"/>
      <name val="Arial"/>
      <family val="2"/>
    </font>
    <font>
      <b/>
      <sz val="10"/>
      <color rgb="FF27500A"/>
      <name val="Arial"/>
      <family val="2"/>
    </font>
    <font>
      <i/>
      <sz val="9"/>
      <color rgb="FFD4537E"/>
      <name val="Arial"/>
      <family val="2"/>
    </font>
    <font>
      <sz val="9"/>
      <color rgb="FFFFFFFF"/>
      <name val="Arial"/>
      <family val="2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0C447C"/>
      <name val="Arial"/>
      <family val="2"/>
    </font>
    <font>
      <b/>
      <sz val="16"/>
      <color rgb="FF0C447C"/>
      <name val="Arial"/>
      <family val="2"/>
    </font>
    <font>
      <b/>
      <sz val="8"/>
      <color rgb="FF085041"/>
      <name val="Arial"/>
      <family val="2"/>
    </font>
    <font>
      <b/>
      <sz val="16"/>
      <color rgb="FF085041"/>
      <name val="Arial"/>
      <family val="2"/>
    </font>
    <font>
      <b/>
      <sz val="8"/>
      <color rgb="FF633806"/>
      <name val="Arial"/>
      <family val="2"/>
    </font>
    <font>
      <b/>
      <sz val="16"/>
      <color rgb="FF633806"/>
      <name val="Arial"/>
      <family val="2"/>
    </font>
    <font>
      <b/>
      <sz val="8"/>
      <color rgb="FF27500A"/>
      <name val="Arial"/>
      <family val="2"/>
    </font>
    <font>
      <b/>
      <sz val="16"/>
      <color rgb="FF27500A"/>
      <name val="Arial"/>
      <family val="2"/>
    </font>
    <font>
      <b/>
      <sz val="8"/>
      <color rgb="FF3C3489"/>
      <name val="Arial"/>
      <family val="2"/>
    </font>
    <font>
      <b/>
      <sz val="16"/>
      <color rgb="FF3C3489"/>
      <name val="Arial"/>
      <family val="2"/>
    </font>
    <font>
      <b/>
      <sz val="8"/>
      <color rgb="FF791F1F"/>
      <name val="Arial"/>
      <family val="2"/>
    </font>
    <font>
      <b/>
      <sz val="16"/>
      <color rgb="FF791F1F"/>
      <name val="Arial"/>
      <family val="2"/>
    </font>
    <font>
      <b/>
      <sz val="8"/>
      <color rgb="FF888780"/>
      <name val="Arial"/>
      <family val="2"/>
    </font>
    <font>
      <b/>
      <sz val="16"/>
      <color rgb="FF888780"/>
      <name val="Arial"/>
      <family val="2"/>
    </font>
    <font>
      <b/>
      <sz val="18"/>
      <color rgb="FF791F1F"/>
      <name val="Arial"/>
      <family val="2"/>
    </font>
    <font>
      <b/>
      <sz val="18"/>
      <color rgb="FF633806"/>
      <name val="Arial"/>
      <family val="2"/>
    </font>
    <font>
      <b/>
      <sz val="18"/>
      <color rgb="FF0C447C"/>
      <name val="Arial"/>
      <family val="2"/>
    </font>
    <font>
      <b/>
      <sz val="18"/>
      <color rgb="FF888780"/>
      <name val="Arial"/>
      <family val="2"/>
    </font>
    <font>
      <i/>
      <sz val="9"/>
      <color rgb="FF791F1F"/>
      <name val="Arial"/>
      <family val="2"/>
    </font>
    <font>
      <b/>
      <sz val="9"/>
      <color rgb="FF085041"/>
      <name val="Arial"/>
      <family val="2"/>
    </font>
    <font>
      <b/>
      <sz val="9"/>
      <color theme="9" tint="-0.499984740745262"/>
      <name val="Arial"/>
      <family val="2"/>
    </font>
    <font>
      <sz val="11"/>
      <color theme="9" tint="-0.499984740745262"/>
      <name val="Roboto"/>
      <family val="2"/>
      <scheme val="minor"/>
    </font>
    <font>
      <i/>
      <sz val="10"/>
      <color theme="9" tint="-0.499984740745262"/>
      <name val="Arial"/>
      <family val="2"/>
    </font>
    <font>
      <sz val="8"/>
      <name val="Roboto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rgb="FFD4537E"/>
      </right>
      <top style="thin">
        <color theme="9" tint="0.79998168889431442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9" fontId="5" fillId="5" borderId="5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0" fillId="1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18" borderId="0" xfId="0" applyFill="1"/>
    <xf numFmtId="0" fontId="13" fillId="18" borderId="7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3" fillId="18" borderId="11" xfId="0" applyFont="1" applyFill="1" applyBorder="1" applyAlignment="1">
      <alignment horizontal="center" vertical="center" wrapText="1"/>
    </xf>
    <xf numFmtId="0" fontId="13" fillId="18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3" fillId="18" borderId="12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13" fillId="18" borderId="15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3" fillId="17" borderId="13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 wrapText="1"/>
    </xf>
    <xf numFmtId="0" fontId="13" fillId="18" borderId="19" xfId="0" applyFont="1" applyFill="1" applyBorder="1" applyAlignment="1">
      <alignment horizontal="center" vertical="center" wrapText="1"/>
    </xf>
    <xf numFmtId="9" fontId="5" fillId="5" borderId="16" xfId="0" applyNumberFormat="1" applyFont="1" applyFill="1" applyBorder="1" applyAlignment="1">
      <alignment horizontal="center" vertical="center"/>
    </xf>
    <xf numFmtId="0" fontId="12" fillId="18" borderId="9" xfId="0" applyFont="1" applyFill="1" applyBorder="1" applyAlignment="1">
      <alignment horizontal="center" vertical="center"/>
    </xf>
    <xf numFmtId="0" fontId="0" fillId="18" borderId="9" xfId="0" applyFill="1" applyBorder="1"/>
    <xf numFmtId="0" fontId="3" fillId="19" borderId="1" xfId="0" applyFont="1" applyFill="1" applyBorder="1" applyAlignment="1">
      <alignment horizontal="left" vertical="center" wrapText="1"/>
    </xf>
    <xf numFmtId="0" fontId="0" fillId="19" borderId="0" xfId="0" applyFill="1"/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1" fillId="19" borderId="2" xfId="0" applyFont="1" applyFill="1" applyBorder="1" applyAlignment="1">
      <alignment horizontal="left" vertical="center"/>
    </xf>
    <xf numFmtId="0" fontId="42" fillId="19" borderId="0" xfId="0" applyFont="1" applyFill="1"/>
    <xf numFmtId="0" fontId="8" fillId="7" borderId="1" xfId="0" applyFont="1" applyFill="1" applyBorder="1" applyAlignment="1">
      <alignment horizontal="left" vertical="center"/>
    </xf>
    <xf numFmtId="0" fontId="43" fillId="19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3" fillId="11" borderId="21" xfId="0" applyFont="1" applyFill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5" borderId="25" xfId="0" applyFon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3" fillId="14" borderId="24" xfId="0" applyFont="1" applyFill="1" applyBorder="1" applyAlignment="1">
      <alignment horizontal="center" vertical="center"/>
    </xf>
    <xf numFmtId="0" fontId="13" fillId="18" borderId="20" xfId="0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9" fillId="19" borderId="0" xfId="0" applyFont="1" applyFill="1" applyAlignment="1">
      <alignment horizontal="left" vertical="center" wrapText="1"/>
    </xf>
    <xf numFmtId="0" fontId="18" fillId="14" borderId="16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0" fillId="16" borderId="8" xfId="0" applyFill="1" applyBorder="1"/>
    <xf numFmtId="0" fontId="11" fillId="3" borderId="13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0" fillId="14" borderId="16" xfId="0" applyFill="1" applyBorder="1"/>
    <xf numFmtId="0" fontId="0" fillId="11" borderId="3" xfId="0" applyFill="1" applyBorder="1"/>
    <xf numFmtId="0" fontId="19" fillId="18" borderId="0" xfId="0" applyFont="1" applyFill="1" applyAlignment="1">
      <alignment horizontal="center" vertical="center"/>
    </xf>
    <xf numFmtId="0" fontId="19" fillId="16" borderId="8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6" borderId="8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0" fillId="15" borderId="6" xfId="0" applyFill="1" applyBorder="1"/>
    <xf numFmtId="0" fontId="8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EBEB"/>
      <color rgb="FFFAE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-UPB" id="{A521A89D-A243-1942-A813-F5562B35CD78}" vid="{16195D9E-EAD6-9045-B52E-AAB32477072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activeCell="C33" sqref="C33"/>
    </sheetView>
  </sheetViews>
  <sheetFormatPr baseColWidth="10" defaultColWidth="8.796875" defaultRowHeight="14.4" x14ac:dyDescent="0.3"/>
  <cols>
    <col min="1" max="2" width="26" customWidth="1"/>
    <col min="3" max="4" width="30" customWidth="1"/>
    <col min="5" max="8" width="20" customWidth="1"/>
  </cols>
  <sheetData>
    <row r="1" spans="1:8" ht="60" customHeight="1" x14ac:dyDescent="0.3">
      <c r="A1" s="67" t="s">
        <v>0</v>
      </c>
      <c r="B1" s="68"/>
      <c r="C1" s="68"/>
      <c r="D1" s="68"/>
      <c r="E1" s="68"/>
      <c r="F1" s="68"/>
      <c r="G1" s="68"/>
      <c r="H1" s="68"/>
    </row>
    <row r="2" spans="1:8" ht="24" customHeight="1" x14ac:dyDescent="0.3">
      <c r="A2" s="76" t="s">
        <v>1</v>
      </c>
      <c r="B2" s="74"/>
      <c r="C2" s="74"/>
      <c r="D2" s="74"/>
      <c r="E2" s="74"/>
      <c r="F2" s="74"/>
      <c r="G2" s="74"/>
      <c r="H2" s="74"/>
    </row>
    <row r="3" spans="1:8" ht="6" customHeight="1" x14ac:dyDescent="0.3"/>
    <row r="4" spans="1:8" x14ac:dyDescent="0.3">
      <c r="A4" s="77" t="s">
        <v>2</v>
      </c>
      <c r="B4" s="65"/>
      <c r="C4" s="65"/>
      <c r="D4" s="65"/>
      <c r="E4" s="65"/>
      <c r="F4" s="65"/>
      <c r="G4" s="65"/>
      <c r="H4" s="65"/>
    </row>
    <row r="5" spans="1:8" x14ac:dyDescent="0.3">
      <c r="A5" s="64" t="s">
        <v>3</v>
      </c>
      <c r="B5" s="65"/>
      <c r="C5" s="65"/>
      <c r="D5" s="65"/>
      <c r="E5" s="65"/>
      <c r="F5" s="65"/>
      <c r="G5" s="65"/>
      <c r="H5" s="65"/>
    </row>
    <row r="6" spans="1:8" x14ac:dyDescent="0.3">
      <c r="A6" s="65"/>
      <c r="B6" s="65"/>
      <c r="C6" s="65"/>
      <c r="D6" s="65"/>
      <c r="E6" s="65"/>
      <c r="F6" s="65"/>
      <c r="G6" s="65"/>
      <c r="H6" s="65"/>
    </row>
    <row r="7" spans="1:8" x14ac:dyDescent="0.3">
      <c r="A7" s="65"/>
      <c r="B7" s="65"/>
      <c r="C7" s="65"/>
      <c r="D7" s="65"/>
      <c r="E7" s="65"/>
      <c r="F7" s="65"/>
      <c r="G7" s="65"/>
      <c r="H7" s="65"/>
    </row>
    <row r="8" spans="1:8" x14ac:dyDescent="0.3">
      <c r="A8" s="65"/>
      <c r="B8" s="65"/>
      <c r="C8" s="65"/>
      <c r="D8" s="65"/>
      <c r="E8" s="65"/>
      <c r="F8" s="65"/>
      <c r="G8" s="65"/>
      <c r="H8" s="65"/>
    </row>
    <row r="9" spans="1:8" x14ac:dyDescent="0.3">
      <c r="A9" s="77" t="s">
        <v>4</v>
      </c>
      <c r="B9" s="65"/>
      <c r="C9" s="65"/>
      <c r="D9" s="65"/>
      <c r="E9" s="65"/>
      <c r="F9" s="65"/>
      <c r="G9" s="65"/>
      <c r="H9" s="65"/>
    </row>
    <row r="10" spans="1:8" ht="22.05" customHeight="1" x14ac:dyDescent="0.3">
      <c r="A10" s="73" t="s">
        <v>5</v>
      </c>
      <c r="B10" s="74"/>
      <c r="C10" s="64" t="s">
        <v>6</v>
      </c>
      <c r="D10" s="65"/>
      <c r="E10" s="65"/>
      <c r="F10" s="65"/>
      <c r="G10" s="65"/>
      <c r="H10" s="65"/>
    </row>
    <row r="11" spans="1:8" ht="22.05" customHeight="1" x14ac:dyDescent="0.3">
      <c r="A11" s="73" t="s">
        <v>7</v>
      </c>
      <c r="B11" s="74"/>
      <c r="C11" s="64" t="s">
        <v>8</v>
      </c>
      <c r="D11" s="65"/>
      <c r="E11" s="65"/>
      <c r="F11" s="65"/>
      <c r="G11" s="65"/>
      <c r="H11" s="65"/>
    </row>
    <row r="12" spans="1:8" ht="22.05" customHeight="1" x14ac:dyDescent="0.3">
      <c r="A12" s="73" t="s">
        <v>9</v>
      </c>
      <c r="B12" s="74"/>
      <c r="C12" s="64" t="s">
        <v>10</v>
      </c>
      <c r="D12" s="65"/>
      <c r="E12" s="65"/>
      <c r="F12" s="65"/>
      <c r="G12" s="65"/>
      <c r="H12" s="65"/>
    </row>
    <row r="13" spans="1:8" ht="22.05" customHeight="1" x14ac:dyDescent="0.3">
      <c r="A13" s="73" t="s">
        <v>11</v>
      </c>
      <c r="B13" s="74"/>
      <c r="C13" s="64" t="s">
        <v>12</v>
      </c>
      <c r="D13" s="65"/>
      <c r="E13" s="65"/>
      <c r="F13" s="65"/>
      <c r="G13" s="65"/>
      <c r="H13" s="65"/>
    </row>
    <row r="14" spans="1:8" ht="22.05" customHeight="1" x14ac:dyDescent="0.3">
      <c r="A14" s="73" t="s">
        <v>13</v>
      </c>
      <c r="B14" s="74"/>
      <c r="C14" s="64" t="s">
        <v>14</v>
      </c>
      <c r="D14" s="65"/>
      <c r="E14" s="65"/>
      <c r="F14" s="65"/>
      <c r="G14" s="65"/>
      <c r="H14" s="65"/>
    </row>
    <row r="15" spans="1:8" ht="7.95" customHeight="1" x14ac:dyDescent="0.3"/>
    <row r="16" spans="1:8" x14ac:dyDescent="0.3">
      <c r="A16" s="69" t="s">
        <v>15</v>
      </c>
      <c r="B16" s="65"/>
      <c r="C16" s="65"/>
      <c r="D16" s="65"/>
      <c r="E16" s="65"/>
      <c r="F16" s="65"/>
      <c r="G16" s="65"/>
      <c r="H16" s="65"/>
    </row>
    <row r="17" spans="1:8" ht="19.95" customHeight="1" x14ac:dyDescent="0.3">
      <c r="A17" s="71" t="s">
        <v>16</v>
      </c>
      <c r="B17" s="65"/>
      <c r="C17" s="65"/>
      <c r="D17" s="66" t="s">
        <v>17</v>
      </c>
      <c r="E17" s="65"/>
      <c r="F17" s="65"/>
      <c r="G17" s="65"/>
      <c r="H17" s="65"/>
    </row>
    <row r="18" spans="1:8" ht="19.95" customHeight="1" x14ac:dyDescent="0.3">
      <c r="A18" s="78" t="s">
        <v>18</v>
      </c>
      <c r="B18" s="65"/>
      <c r="C18" s="65"/>
      <c r="D18" s="66" t="s">
        <v>19</v>
      </c>
      <c r="E18" s="65"/>
      <c r="F18" s="65"/>
      <c r="G18" s="65"/>
      <c r="H18" s="65"/>
    </row>
    <row r="19" spans="1:8" ht="19.95" customHeight="1" x14ac:dyDescent="0.3">
      <c r="A19" s="75" t="s">
        <v>20</v>
      </c>
      <c r="B19" s="65"/>
      <c r="C19" s="65"/>
      <c r="D19" s="66" t="s">
        <v>21</v>
      </c>
      <c r="E19" s="65"/>
      <c r="F19" s="65"/>
      <c r="G19" s="65"/>
      <c r="H19" s="65"/>
    </row>
    <row r="20" spans="1:8" ht="19.95" customHeight="1" x14ac:dyDescent="0.3">
      <c r="A20" s="72" t="s">
        <v>22</v>
      </c>
      <c r="B20" s="65"/>
      <c r="C20" s="65"/>
      <c r="D20" s="66" t="s">
        <v>23</v>
      </c>
      <c r="E20" s="65"/>
      <c r="F20" s="65"/>
      <c r="G20" s="65"/>
      <c r="H20" s="65"/>
    </row>
    <row r="21" spans="1:8" ht="19.95" customHeight="1" x14ac:dyDescent="0.3">
      <c r="A21" s="79" t="s">
        <v>24</v>
      </c>
      <c r="B21" s="65"/>
      <c r="C21" s="65"/>
      <c r="D21" s="66" t="s">
        <v>25</v>
      </c>
      <c r="E21" s="65"/>
      <c r="F21" s="65"/>
      <c r="G21" s="65"/>
      <c r="H21" s="65"/>
    </row>
    <row r="22" spans="1:8" ht="19.95" customHeight="1" x14ac:dyDescent="0.3">
      <c r="A22" s="70" t="s">
        <v>26</v>
      </c>
      <c r="B22" s="65"/>
      <c r="C22" s="65"/>
      <c r="D22" s="66" t="s">
        <v>27</v>
      </c>
      <c r="E22" s="65"/>
      <c r="F22" s="65"/>
      <c r="G22" s="65"/>
      <c r="H22" s="65"/>
    </row>
    <row r="23" spans="1:8" ht="7.95" customHeight="1" x14ac:dyDescent="0.3"/>
    <row r="24" spans="1:8" x14ac:dyDescent="0.3">
      <c r="A24" s="69" t="s">
        <v>28</v>
      </c>
      <c r="B24" s="65"/>
      <c r="C24" s="65"/>
      <c r="D24" s="65"/>
      <c r="E24" s="65"/>
      <c r="F24" s="65"/>
      <c r="G24" s="65"/>
      <c r="H24" s="65"/>
    </row>
    <row r="25" spans="1:8" ht="19.95" customHeight="1" x14ac:dyDescent="0.3">
      <c r="A25" s="62" t="s">
        <v>29</v>
      </c>
      <c r="B25" s="63"/>
      <c r="C25" s="63"/>
      <c r="D25" s="63"/>
      <c r="E25" s="63"/>
      <c r="F25" s="63"/>
      <c r="G25" s="63"/>
      <c r="H25" s="63"/>
    </row>
    <row r="26" spans="1:8" ht="19.95" customHeight="1" x14ac:dyDescent="0.3">
      <c r="A26" s="64" t="s">
        <v>30</v>
      </c>
      <c r="B26" s="65"/>
      <c r="C26" s="65"/>
      <c r="D26" s="65"/>
      <c r="E26" s="65"/>
      <c r="F26" s="65"/>
      <c r="G26" s="65"/>
      <c r="H26" s="65"/>
    </row>
    <row r="27" spans="1:8" ht="19.95" customHeight="1" x14ac:dyDescent="0.3">
      <c r="A27" s="62" t="s">
        <v>31</v>
      </c>
      <c r="B27" s="63"/>
      <c r="C27" s="63"/>
      <c r="D27" s="63"/>
      <c r="E27" s="63"/>
      <c r="F27" s="63"/>
      <c r="G27" s="63"/>
      <c r="H27" s="63"/>
    </row>
    <row r="28" spans="1:8" ht="19.95" customHeight="1" x14ac:dyDescent="0.3">
      <c r="A28" s="64" t="s">
        <v>32</v>
      </c>
      <c r="B28" s="65"/>
      <c r="C28" s="65"/>
      <c r="D28" s="65"/>
      <c r="E28" s="65"/>
      <c r="F28" s="65"/>
      <c r="G28" s="65"/>
      <c r="H28" s="65"/>
    </row>
    <row r="29" spans="1:8" ht="19.95" customHeight="1" x14ac:dyDescent="0.3">
      <c r="A29" s="62" t="s">
        <v>33</v>
      </c>
      <c r="B29" s="63"/>
      <c r="C29" s="63"/>
      <c r="D29" s="63"/>
      <c r="E29" s="63"/>
      <c r="F29" s="63"/>
      <c r="G29" s="63"/>
      <c r="H29" s="63"/>
    </row>
    <row r="30" spans="1:8" ht="19.95" customHeight="1" x14ac:dyDescent="0.3">
      <c r="A30" s="64" t="s">
        <v>34</v>
      </c>
      <c r="B30" s="65"/>
      <c r="C30" s="65"/>
      <c r="D30" s="65"/>
      <c r="E30" s="65"/>
      <c r="F30" s="65"/>
      <c r="G30" s="65"/>
      <c r="H30" s="65"/>
    </row>
    <row r="31" spans="1:8" ht="19.95" customHeight="1" x14ac:dyDescent="0.3">
      <c r="A31" s="62" t="s">
        <v>35</v>
      </c>
      <c r="B31" s="63"/>
      <c r="C31" s="63"/>
      <c r="D31" s="63"/>
      <c r="E31" s="63"/>
      <c r="F31" s="63"/>
      <c r="G31" s="63"/>
      <c r="H31" s="63"/>
    </row>
  </sheetData>
  <mergeCells count="36">
    <mergeCell ref="A11:B11"/>
    <mergeCell ref="D19:H19"/>
    <mergeCell ref="A18:C18"/>
    <mergeCell ref="A21:C21"/>
    <mergeCell ref="A19:C19"/>
    <mergeCell ref="C13:H13"/>
    <mergeCell ref="A2:H2"/>
    <mergeCell ref="A14:B14"/>
    <mergeCell ref="A31:H31"/>
    <mergeCell ref="A4:H4"/>
    <mergeCell ref="A29:H29"/>
    <mergeCell ref="C14:H14"/>
    <mergeCell ref="A10:B10"/>
    <mergeCell ref="A28:H28"/>
    <mergeCell ref="A13:B13"/>
    <mergeCell ref="A9:H9"/>
    <mergeCell ref="C10:H10"/>
    <mergeCell ref="A30:H30"/>
    <mergeCell ref="D20:H20"/>
    <mergeCell ref="A24:H24"/>
    <mergeCell ref="A25:H25"/>
    <mergeCell ref="A27:H27"/>
    <mergeCell ref="A26:H26"/>
    <mergeCell ref="D18:H18"/>
    <mergeCell ref="A1:H1"/>
    <mergeCell ref="C12:H12"/>
    <mergeCell ref="D22:H22"/>
    <mergeCell ref="C11:H11"/>
    <mergeCell ref="D21:H21"/>
    <mergeCell ref="A16:H16"/>
    <mergeCell ref="A22:C22"/>
    <mergeCell ref="A17:C17"/>
    <mergeCell ref="A5:H8"/>
    <mergeCell ref="A20:C20"/>
    <mergeCell ref="D17:H1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showGridLines="0" tabSelected="1" zoomScale="66" workbookViewId="0">
      <pane ySplit="2" topLeftCell="A3" activePane="bottomLeft" state="frozen"/>
      <selection pane="bottomLeft" activeCell="T14" sqref="T14"/>
    </sheetView>
  </sheetViews>
  <sheetFormatPr baseColWidth="10" defaultColWidth="8.796875" defaultRowHeight="14.4" x14ac:dyDescent="0.3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41.69921875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5.09765625" customWidth="1"/>
  </cols>
  <sheetData>
    <row r="1" spans="1:18" ht="36" customHeight="1" x14ac:dyDescent="0.3">
      <c r="A1" s="84" t="s">
        <v>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36" customHeight="1" x14ac:dyDescent="0.3">
      <c r="A2" s="86" t="s">
        <v>37</v>
      </c>
      <c r="B2" s="68"/>
      <c r="C2" s="68"/>
      <c r="D2" s="80" t="s">
        <v>38</v>
      </c>
      <c r="E2" s="65"/>
      <c r="F2" s="65"/>
      <c r="G2" s="82" t="s">
        <v>39</v>
      </c>
      <c r="H2" s="65"/>
      <c r="I2" s="81" t="s">
        <v>40</v>
      </c>
      <c r="J2" s="65"/>
      <c r="K2" s="65"/>
      <c r="L2" s="85" t="s">
        <v>41</v>
      </c>
      <c r="M2" s="65"/>
      <c r="N2" s="65"/>
      <c r="O2" s="83" t="s">
        <v>42</v>
      </c>
      <c r="P2" s="65"/>
      <c r="Q2" s="65"/>
      <c r="R2" s="65"/>
    </row>
    <row r="3" spans="1:18" ht="75" customHeight="1" x14ac:dyDescent="0.3">
      <c r="A3" s="37" cm="1">
        <f t="array" aca="1" ref="A3" ca="1">+K4+A3:K3+K4+A3:A3:K4</f>
        <v>0</v>
      </c>
      <c r="B3" s="37" t="s">
        <v>43</v>
      </c>
      <c r="C3" s="37" t="s">
        <v>44</v>
      </c>
      <c r="D3" s="3" t="s">
        <v>45</v>
      </c>
      <c r="E3" s="3" t="s">
        <v>46</v>
      </c>
      <c r="F3" s="3" t="s">
        <v>47</v>
      </c>
      <c r="G3" s="4" t="s">
        <v>48</v>
      </c>
      <c r="H3" s="4" t="s">
        <v>49</v>
      </c>
      <c r="I3" s="5" t="s">
        <v>50</v>
      </c>
      <c r="J3" s="5" t="s">
        <v>51</v>
      </c>
      <c r="K3" s="5" t="s">
        <v>52</v>
      </c>
      <c r="L3" s="6" t="s">
        <v>53</v>
      </c>
      <c r="M3" s="6" t="s">
        <v>54</v>
      </c>
      <c r="N3" s="6" cm="1">
        <f t="array" aca="1" ref="N3" ca="1">+N4+F3:N4+E3:N4+N4+F3:N4+A3:N4</f>
        <v>0</v>
      </c>
      <c r="O3" s="7" t="s">
        <v>55</v>
      </c>
      <c r="P3" s="7" t="s">
        <v>56</v>
      </c>
      <c r="Q3" s="7" t="s">
        <v>57</v>
      </c>
      <c r="R3" s="7" t="s">
        <v>58</v>
      </c>
    </row>
    <row r="4" spans="1:18" ht="37.799999999999997" customHeight="1" x14ac:dyDescent="0.3">
      <c r="A4" s="8" t="s">
        <v>59</v>
      </c>
      <c r="B4" s="1" t="s">
        <v>277</v>
      </c>
      <c r="C4" s="9" t="s">
        <v>60</v>
      </c>
      <c r="D4" s="1" t="s">
        <v>278</v>
      </c>
      <c r="E4" s="1" t="s">
        <v>279</v>
      </c>
      <c r="F4" s="10" t="s">
        <v>63</v>
      </c>
      <c r="G4" s="9" t="s">
        <v>84</v>
      </c>
      <c r="H4" s="1" t="s">
        <v>280</v>
      </c>
      <c r="I4" s="1"/>
      <c r="J4" s="9" t="s">
        <v>281</v>
      </c>
      <c r="K4" s="2" t="s">
        <v>284</v>
      </c>
      <c r="L4" s="9"/>
      <c r="M4" s="11"/>
      <c r="N4" s="9"/>
      <c r="O4" s="11" t="s">
        <v>101</v>
      </c>
      <c r="P4" s="9"/>
      <c r="Q4" s="9"/>
      <c r="R4" s="1"/>
    </row>
    <row r="5" spans="1:18" ht="48" customHeight="1" x14ac:dyDescent="0.3">
      <c r="A5" s="12" t="s">
        <v>69</v>
      </c>
      <c r="B5" s="2" t="s">
        <v>282</v>
      </c>
      <c r="C5" s="13" t="s">
        <v>60</v>
      </c>
      <c r="D5" s="2" t="s">
        <v>92</v>
      </c>
      <c r="E5" s="2" t="s">
        <v>279</v>
      </c>
      <c r="F5" s="116" t="s">
        <v>78</v>
      </c>
      <c r="G5" s="9" t="s">
        <v>313</v>
      </c>
      <c r="H5" s="2" t="s">
        <v>283</v>
      </c>
      <c r="I5" s="1"/>
      <c r="J5" s="13" t="s">
        <v>281</v>
      </c>
      <c r="K5" s="2" t="s">
        <v>284</v>
      </c>
      <c r="L5" s="9"/>
      <c r="M5" s="11"/>
      <c r="N5" s="9"/>
      <c r="O5" s="11" t="s">
        <v>101</v>
      </c>
      <c r="P5" s="13" t="s">
        <v>307</v>
      </c>
      <c r="Q5" s="121">
        <v>46272</v>
      </c>
      <c r="R5" s="2" t="s">
        <v>309</v>
      </c>
    </row>
    <row r="6" spans="1:18" ht="39" customHeight="1" x14ac:dyDescent="0.3">
      <c r="A6" s="8" t="s">
        <v>71</v>
      </c>
      <c r="B6" s="1" t="s">
        <v>286</v>
      </c>
      <c r="C6" s="9" t="s">
        <v>60</v>
      </c>
      <c r="D6" s="1" t="s">
        <v>76</v>
      </c>
      <c r="E6" s="1" t="s">
        <v>279</v>
      </c>
      <c r="F6" s="116" t="s">
        <v>78</v>
      </c>
      <c r="G6" s="9" t="s">
        <v>84</v>
      </c>
      <c r="H6" s="1" t="s">
        <v>287</v>
      </c>
      <c r="I6" s="1"/>
      <c r="J6" s="9" t="s">
        <v>281</v>
      </c>
      <c r="K6" s="2" t="s">
        <v>284</v>
      </c>
      <c r="L6" s="9"/>
      <c r="M6" s="11"/>
      <c r="N6" s="9"/>
      <c r="O6" s="11" t="s">
        <v>101</v>
      </c>
      <c r="P6" s="9"/>
      <c r="Q6" s="9"/>
      <c r="R6" s="1"/>
    </row>
    <row r="7" spans="1:18" ht="51" customHeight="1" x14ac:dyDescent="0.3">
      <c r="A7" s="12" t="s">
        <v>75</v>
      </c>
      <c r="B7" s="2" t="s">
        <v>288</v>
      </c>
      <c r="C7" s="13" t="s">
        <v>60</v>
      </c>
      <c r="D7" s="2" t="s">
        <v>289</v>
      </c>
      <c r="E7" s="2" t="s">
        <v>279</v>
      </c>
      <c r="F7" s="14" t="s">
        <v>78</v>
      </c>
      <c r="G7" s="9" t="s">
        <v>84</v>
      </c>
      <c r="H7" s="2" t="s">
        <v>290</v>
      </c>
      <c r="I7" s="1"/>
      <c r="J7" s="13" t="s">
        <v>281</v>
      </c>
      <c r="K7" s="2" t="s">
        <v>284</v>
      </c>
      <c r="L7" s="9"/>
      <c r="M7" s="11"/>
      <c r="N7" s="9"/>
      <c r="O7" s="11" t="s">
        <v>101</v>
      </c>
      <c r="P7" s="13"/>
      <c r="Q7" s="13"/>
      <c r="R7" s="2"/>
    </row>
    <row r="8" spans="1:18" ht="31.8" customHeight="1" x14ac:dyDescent="0.3">
      <c r="A8" s="8" t="s">
        <v>83</v>
      </c>
      <c r="B8" s="1" t="s">
        <v>291</v>
      </c>
      <c r="C8" s="9" t="s">
        <v>60</v>
      </c>
      <c r="D8" s="1" t="s">
        <v>72</v>
      </c>
      <c r="E8" s="1" t="s">
        <v>292</v>
      </c>
      <c r="F8" s="116" t="s">
        <v>78</v>
      </c>
      <c r="G8" s="9" t="s">
        <v>84</v>
      </c>
      <c r="H8" s="1" t="s">
        <v>293</v>
      </c>
      <c r="I8" s="1"/>
      <c r="J8" s="9" t="s">
        <v>285</v>
      </c>
      <c r="K8" s="2" t="s">
        <v>284</v>
      </c>
      <c r="L8" s="9"/>
      <c r="M8" s="11"/>
      <c r="N8" s="9"/>
      <c r="O8" s="11" t="s">
        <v>101</v>
      </c>
      <c r="P8" s="9"/>
      <c r="Q8" s="9"/>
      <c r="R8" s="1"/>
    </row>
    <row r="9" spans="1:18" ht="45" customHeight="1" x14ac:dyDescent="0.3">
      <c r="A9" s="12" t="s">
        <v>86</v>
      </c>
      <c r="B9" s="2" t="s">
        <v>294</v>
      </c>
      <c r="C9" s="13" t="s">
        <v>60</v>
      </c>
      <c r="D9" s="2" t="s">
        <v>289</v>
      </c>
      <c r="E9" s="2" t="s">
        <v>295</v>
      </c>
      <c r="F9" s="116" t="s">
        <v>78</v>
      </c>
      <c r="G9" s="9" t="s">
        <v>84</v>
      </c>
      <c r="H9" s="2" t="s">
        <v>296</v>
      </c>
      <c r="I9" s="1"/>
      <c r="J9" s="13" t="s">
        <v>64</v>
      </c>
      <c r="K9" s="2" t="s">
        <v>284</v>
      </c>
      <c r="L9" s="9"/>
      <c r="M9" s="11"/>
      <c r="N9" s="9"/>
      <c r="O9" s="11" t="s">
        <v>101</v>
      </c>
      <c r="P9" s="13"/>
      <c r="Q9" s="13"/>
      <c r="R9" s="2"/>
    </row>
    <row r="10" spans="1:18" ht="39" customHeight="1" x14ac:dyDescent="0.3">
      <c r="A10" s="8" t="s">
        <v>90</v>
      </c>
      <c r="B10" s="1" t="s">
        <v>297</v>
      </c>
      <c r="C10" s="9" t="s">
        <v>60</v>
      </c>
      <c r="D10" s="1" t="s">
        <v>298</v>
      </c>
      <c r="E10" s="1" t="s">
        <v>292</v>
      </c>
      <c r="F10" s="117" t="s">
        <v>100</v>
      </c>
      <c r="G10" s="9" t="s">
        <v>84</v>
      </c>
      <c r="H10" s="1" t="s">
        <v>299</v>
      </c>
      <c r="I10" s="1"/>
      <c r="J10" s="9" t="s">
        <v>64</v>
      </c>
      <c r="K10" s="2" t="s">
        <v>284</v>
      </c>
      <c r="L10" s="9"/>
      <c r="M10" s="11"/>
      <c r="N10" s="9"/>
      <c r="O10" s="11" t="s">
        <v>101</v>
      </c>
      <c r="P10" s="9"/>
      <c r="Q10" s="9"/>
      <c r="R10" s="1"/>
    </row>
    <row r="11" spans="1:18" ht="66" customHeight="1" x14ac:dyDescent="0.3">
      <c r="A11" s="12" t="s">
        <v>91</v>
      </c>
      <c r="B11" s="2" t="s">
        <v>300</v>
      </c>
      <c r="C11" s="13" t="s">
        <v>60</v>
      </c>
      <c r="D11" s="2" t="s">
        <v>61</v>
      </c>
      <c r="E11" s="2" t="s">
        <v>301</v>
      </c>
      <c r="F11" s="118" t="s">
        <v>63</v>
      </c>
      <c r="G11" s="9" t="s">
        <v>313</v>
      </c>
      <c r="H11" s="2" t="s">
        <v>302</v>
      </c>
      <c r="I11" s="1"/>
      <c r="J11" s="13" t="s">
        <v>285</v>
      </c>
      <c r="K11" s="2" t="s">
        <v>284</v>
      </c>
      <c r="L11" s="9"/>
      <c r="M11" s="11"/>
      <c r="N11" s="9"/>
      <c r="O11" s="11" t="s">
        <v>101</v>
      </c>
      <c r="P11" s="13" t="s">
        <v>308</v>
      </c>
      <c r="Q11" s="121">
        <v>46272</v>
      </c>
      <c r="R11" s="2" t="s">
        <v>310</v>
      </c>
    </row>
    <row r="12" spans="1:18" ht="52.2" customHeight="1" x14ac:dyDescent="0.3">
      <c r="A12" s="8" t="s">
        <v>97</v>
      </c>
      <c r="B12" s="1" t="s">
        <v>303</v>
      </c>
      <c r="C12" s="9" t="s">
        <v>60</v>
      </c>
      <c r="D12" s="1" t="s">
        <v>99</v>
      </c>
      <c r="E12" s="1" t="s">
        <v>301</v>
      </c>
      <c r="F12" s="119" t="s">
        <v>100</v>
      </c>
      <c r="G12" s="9" t="s">
        <v>84</v>
      </c>
      <c r="H12" s="1" t="s">
        <v>304</v>
      </c>
      <c r="I12" s="1"/>
      <c r="J12" s="9" t="s">
        <v>285</v>
      </c>
      <c r="K12" s="2" t="s">
        <v>284</v>
      </c>
      <c r="L12" s="9"/>
      <c r="M12" s="11"/>
      <c r="N12" s="9"/>
      <c r="O12" s="11" t="s">
        <v>101</v>
      </c>
      <c r="P12" s="9"/>
      <c r="Q12" s="9"/>
      <c r="R12" s="1"/>
    </row>
    <row r="13" spans="1:18" ht="64.2" customHeight="1" x14ac:dyDescent="0.3">
      <c r="A13" s="12" t="s">
        <v>98</v>
      </c>
      <c r="B13" s="2" t="s">
        <v>305</v>
      </c>
      <c r="C13" s="13" t="s">
        <v>60</v>
      </c>
      <c r="D13" s="2" t="s">
        <v>104</v>
      </c>
      <c r="E13" s="2" t="s">
        <v>279</v>
      </c>
      <c r="F13" s="120" t="s">
        <v>151</v>
      </c>
      <c r="G13" s="9" t="s">
        <v>84</v>
      </c>
      <c r="H13" s="2" t="s">
        <v>306</v>
      </c>
      <c r="I13" s="1"/>
      <c r="J13" s="13" t="s">
        <v>64</v>
      </c>
      <c r="K13" s="2" t="s">
        <v>284</v>
      </c>
      <c r="L13" s="9"/>
      <c r="M13" s="11"/>
      <c r="N13" s="9"/>
      <c r="O13" s="11" t="s">
        <v>101</v>
      </c>
      <c r="P13" s="13"/>
      <c r="Q13" s="13"/>
      <c r="R13" s="2"/>
    </row>
    <row r="14" spans="1:18" ht="61.8" customHeight="1" x14ac:dyDescent="0.3">
      <c r="A14" s="8" t="s">
        <v>103</v>
      </c>
      <c r="B14" s="2" t="s">
        <v>311</v>
      </c>
      <c r="C14" s="13" t="s">
        <v>60</v>
      </c>
      <c r="D14" s="2" t="s">
        <v>314</v>
      </c>
      <c r="E14" s="2" t="s">
        <v>301</v>
      </c>
      <c r="F14" s="9" t="s">
        <v>312</v>
      </c>
      <c r="G14" s="9" t="s">
        <v>313</v>
      </c>
      <c r="H14" s="2" t="s">
        <v>315</v>
      </c>
      <c r="I14" s="8"/>
      <c r="J14" s="13" t="s">
        <v>312</v>
      </c>
      <c r="K14" s="2" t="s">
        <v>284</v>
      </c>
      <c r="L14" s="8"/>
      <c r="M14" s="8"/>
      <c r="N14" s="8"/>
      <c r="O14" s="11" t="s">
        <v>95</v>
      </c>
      <c r="P14" s="9" t="s">
        <v>314</v>
      </c>
      <c r="Q14" s="121">
        <v>46272</v>
      </c>
      <c r="R14" s="2" t="s">
        <v>316</v>
      </c>
    </row>
    <row r="15" spans="1:18" ht="24" customHeight="1" x14ac:dyDescent="0.3">
      <c r="A15" s="12"/>
      <c r="B15" s="2"/>
      <c r="C15" s="13"/>
      <c r="D15" s="2"/>
      <c r="E15" s="2"/>
      <c r="F15" s="10"/>
      <c r="G15" s="9"/>
      <c r="H15" s="2"/>
      <c r="I15" s="1"/>
      <c r="J15" s="13"/>
      <c r="K15" s="2"/>
      <c r="L15" s="9"/>
      <c r="M15" s="11"/>
      <c r="N15" s="9"/>
      <c r="O15" s="15"/>
      <c r="P15" s="13"/>
      <c r="Q15" s="13"/>
      <c r="R15" s="2"/>
    </row>
  </sheetData>
  <mergeCells count="7">
    <mergeCell ref="D2:F2"/>
    <mergeCell ref="I2:K2"/>
    <mergeCell ref="G2:H2"/>
    <mergeCell ref="O2:R2"/>
    <mergeCell ref="A1:R1"/>
    <mergeCell ref="L2:N2"/>
    <mergeCell ref="A2:C2"/>
  </mergeCells>
  <phoneticPr fontId="44" type="noConversion"/>
  <dataValidations count="4">
    <dataValidation type="list" allowBlank="1" sqref="C4:C103" xr:uid="{00000000-0002-0000-0100-000000000000}">
      <formula1>"Funcional,No funcional,Restricción,Interfaz,Rendimiento,Seguridad"</formula1>
    </dataValidation>
    <dataValidation type="list" allowBlank="1" sqref="F4:F13 F15:F103" xr:uid="{00000000-0002-0000-0100-000001000000}">
      <formula1>"Must have,Should have,Could have,Won't have"</formula1>
    </dataValidation>
    <dataValidation type="list" allowBlank="1" sqref="M4:M13 M15:M103" xr:uid="{00000000-0002-0000-0100-000002000000}">
      <formula1>"Pasado,Fallido,Bloqueado,Pendiente,N/A"</formula1>
    </dataValidation>
    <dataValidation type="list" allowBlank="1" sqref="O4:O103" xr:uid="{00000000-0002-0000-0100-000003000000}">
      <formula1>"Propuesto,Aprobado,En desarrollo,Implementado,Verificado,Aplazado,Rechazado,Archivado"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E20" sqref="E20"/>
    </sheetView>
  </sheetViews>
  <sheetFormatPr baseColWidth="10" defaultColWidth="8.796875" defaultRowHeight="14.4" x14ac:dyDescent="0.3"/>
  <cols>
    <col min="1" max="1" width="12" customWidth="1"/>
    <col min="2" max="2" width="24" customWidth="1"/>
    <col min="3" max="14" width="9" customWidth="1"/>
  </cols>
  <sheetData>
    <row r="1" spans="1:14" ht="36" customHeight="1" x14ac:dyDescent="0.3">
      <c r="A1" s="84" t="s">
        <v>111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36"/>
    </row>
    <row r="2" spans="1:14" ht="18" customHeight="1" x14ac:dyDescent="0.3">
      <c r="A2" s="36"/>
      <c r="B2" s="36"/>
      <c r="C2" s="88" t="s">
        <v>112</v>
      </c>
      <c r="D2" s="65"/>
      <c r="E2" s="65"/>
      <c r="F2" s="65"/>
      <c r="G2" s="87" t="s">
        <v>113</v>
      </c>
      <c r="H2" s="65"/>
      <c r="I2" s="65"/>
      <c r="J2" s="65"/>
      <c r="K2" s="65"/>
      <c r="L2" s="90" t="s">
        <v>114</v>
      </c>
      <c r="M2" s="65"/>
      <c r="N2" s="65"/>
    </row>
    <row r="3" spans="1:14" ht="72" customHeight="1" x14ac:dyDescent="0.3">
      <c r="A3" s="38" t="s">
        <v>115</v>
      </c>
      <c r="B3" s="38" t="s">
        <v>116</v>
      </c>
      <c r="C3" s="16" t="s">
        <v>61</v>
      </c>
      <c r="D3" s="16" t="s">
        <v>72</v>
      </c>
      <c r="E3" s="16" t="s">
        <v>87</v>
      </c>
      <c r="F3" s="16" t="s">
        <v>92</v>
      </c>
      <c r="G3" s="17" t="s">
        <v>117</v>
      </c>
      <c r="H3" s="17" t="s">
        <v>118</v>
      </c>
      <c r="I3" s="17" t="s">
        <v>119</v>
      </c>
      <c r="J3" s="17" t="s">
        <v>120</v>
      </c>
      <c r="K3" s="17" t="s">
        <v>107</v>
      </c>
      <c r="L3" s="18" t="s">
        <v>121</v>
      </c>
      <c r="M3" s="18" t="s">
        <v>122</v>
      </c>
      <c r="N3" s="18" t="s">
        <v>123</v>
      </c>
    </row>
    <row r="4" spans="1:14" ht="19.95" customHeight="1" x14ac:dyDescent="0.3">
      <c r="A4" s="19" t="s">
        <v>59</v>
      </c>
      <c r="B4" s="20" t="s">
        <v>124</v>
      </c>
      <c r="C4" s="21" t="s">
        <v>125</v>
      </c>
      <c r="D4" s="22"/>
      <c r="E4" s="22"/>
      <c r="F4" s="22"/>
      <c r="G4" s="21" t="s">
        <v>125</v>
      </c>
      <c r="H4" s="22"/>
      <c r="I4" s="22"/>
      <c r="J4" s="22"/>
      <c r="K4" s="22"/>
      <c r="L4" s="21" t="s">
        <v>125</v>
      </c>
      <c r="M4" s="22"/>
      <c r="N4" s="22"/>
    </row>
    <row r="5" spans="1:14" ht="19.95" customHeight="1" x14ac:dyDescent="0.3">
      <c r="A5" s="19" t="s">
        <v>69</v>
      </c>
      <c r="B5" s="23" t="s">
        <v>126</v>
      </c>
      <c r="C5" s="21" t="s">
        <v>125</v>
      </c>
      <c r="D5" s="24"/>
      <c r="E5" s="24"/>
      <c r="F5" s="24"/>
      <c r="G5" s="24"/>
      <c r="H5" s="21" t="s">
        <v>125</v>
      </c>
      <c r="I5" s="24"/>
      <c r="J5" s="24"/>
      <c r="K5" s="24"/>
      <c r="L5" s="21" t="s">
        <v>125</v>
      </c>
      <c r="M5" s="24"/>
      <c r="N5" s="24"/>
    </row>
    <row r="6" spans="1:14" ht="19.95" customHeight="1" x14ac:dyDescent="0.3">
      <c r="A6" s="19" t="s">
        <v>71</v>
      </c>
      <c r="B6" s="20" t="s">
        <v>127</v>
      </c>
      <c r="C6" s="22"/>
      <c r="D6" s="21" t="s">
        <v>125</v>
      </c>
      <c r="E6" s="22"/>
      <c r="F6" s="22"/>
      <c r="G6" s="22"/>
      <c r="H6" s="22"/>
      <c r="I6" s="21" t="s">
        <v>125</v>
      </c>
      <c r="J6" s="22"/>
      <c r="K6" s="22"/>
      <c r="L6" s="21" t="s">
        <v>125</v>
      </c>
      <c r="M6" s="22"/>
      <c r="N6" s="22"/>
    </row>
    <row r="7" spans="1:14" ht="19.95" customHeight="1" x14ac:dyDescent="0.3">
      <c r="A7" s="19" t="s">
        <v>75</v>
      </c>
      <c r="B7" s="23" t="s">
        <v>128</v>
      </c>
      <c r="C7" s="24"/>
      <c r="D7" s="24"/>
      <c r="E7" s="24"/>
      <c r="F7" s="24"/>
      <c r="G7" s="24"/>
      <c r="H7" s="24"/>
      <c r="I7" s="24"/>
      <c r="J7" s="21" t="s">
        <v>125</v>
      </c>
      <c r="K7" s="24"/>
      <c r="L7" s="21" t="s">
        <v>125</v>
      </c>
      <c r="M7" s="24"/>
      <c r="N7" s="24"/>
    </row>
    <row r="8" spans="1:14" ht="19.95" customHeight="1" x14ac:dyDescent="0.3">
      <c r="A8" s="19" t="s">
        <v>83</v>
      </c>
      <c r="B8" s="20" t="s">
        <v>129</v>
      </c>
      <c r="C8" s="22"/>
      <c r="D8" s="21" t="s">
        <v>125</v>
      </c>
      <c r="E8" s="22"/>
      <c r="F8" s="22"/>
      <c r="G8" s="22"/>
      <c r="H8" s="22"/>
      <c r="I8" s="21" t="s">
        <v>125</v>
      </c>
      <c r="J8" s="22"/>
      <c r="K8" s="22"/>
      <c r="L8" s="21" t="s">
        <v>125</v>
      </c>
      <c r="M8" s="22"/>
      <c r="N8" s="22"/>
    </row>
    <row r="9" spans="1:14" ht="19.95" customHeight="1" x14ac:dyDescent="0.3">
      <c r="A9" s="19" t="s">
        <v>86</v>
      </c>
      <c r="B9" s="23" t="s">
        <v>130</v>
      </c>
      <c r="C9" s="24"/>
      <c r="D9" s="24"/>
      <c r="E9" s="21" t="s">
        <v>125</v>
      </c>
      <c r="F9" s="24"/>
      <c r="G9" s="24"/>
      <c r="H9" s="24"/>
      <c r="I9" s="24"/>
      <c r="J9" s="24"/>
      <c r="K9" s="21" t="s">
        <v>125</v>
      </c>
      <c r="L9" s="24"/>
      <c r="M9" s="21" t="s">
        <v>125</v>
      </c>
      <c r="N9" s="24"/>
    </row>
    <row r="10" spans="1:14" ht="19.95" customHeight="1" x14ac:dyDescent="0.3">
      <c r="A10" s="19" t="s">
        <v>90</v>
      </c>
      <c r="B10" s="20" t="s">
        <v>131</v>
      </c>
      <c r="C10" s="22"/>
      <c r="D10" s="22"/>
      <c r="E10" s="21" t="s">
        <v>125</v>
      </c>
      <c r="F10" s="22"/>
      <c r="G10" s="22"/>
      <c r="H10" s="22"/>
      <c r="I10" s="22"/>
      <c r="J10" s="22"/>
      <c r="K10" s="21" t="s">
        <v>125</v>
      </c>
      <c r="L10" s="22"/>
      <c r="M10" s="21" t="s">
        <v>125</v>
      </c>
      <c r="N10" s="22"/>
    </row>
    <row r="11" spans="1:14" ht="19.95" customHeight="1" x14ac:dyDescent="0.3">
      <c r="A11" s="19" t="s">
        <v>91</v>
      </c>
      <c r="B11" s="23" t="s">
        <v>132</v>
      </c>
      <c r="C11" s="24"/>
      <c r="D11" s="24"/>
      <c r="E11" s="24"/>
      <c r="F11" s="21" t="s">
        <v>125</v>
      </c>
      <c r="G11" s="24"/>
      <c r="H11" s="24"/>
      <c r="I11" s="24"/>
      <c r="J11" s="24"/>
      <c r="K11" s="24"/>
      <c r="L11" s="21" t="s">
        <v>125</v>
      </c>
      <c r="M11" s="24"/>
      <c r="N11" s="24"/>
    </row>
    <row r="12" spans="1:14" ht="19.95" customHeight="1" x14ac:dyDescent="0.3">
      <c r="A12" s="19" t="s">
        <v>97</v>
      </c>
      <c r="B12" s="20" t="s">
        <v>133</v>
      </c>
      <c r="C12" s="22"/>
      <c r="D12" s="22"/>
      <c r="E12" s="21" t="s">
        <v>125</v>
      </c>
      <c r="F12" s="22"/>
      <c r="G12" s="22"/>
      <c r="H12" s="22"/>
      <c r="I12" s="22"/>
      <c r="J12" s="22"/>
      <c r="K12" s="22"/>
      <c r="L12" s="22"/>
      <c r="M12" s="21" t="s">
        <v>125</v>
      </c>
      <c r="N12" s="22"/>
    </row>
    <row r="13" spans="1:14" ht="19.95" customHeight="1" x14ac:dyDescent="0.3">
      <c r="A13" s="19" t="s">
        <v>98</v>
      </c>
      <c r="B13" s="23" t="s">
        <v>134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1" t="s">
        <v>125</v>
      </c>
      <c r="N13" s="24"/>
    </row>
    <row r="14" spans="1:14" ht="19.95" customHeight="1" x14ac:dyDescent="0.3">
      <c r="A14" s="19" t="s">
        <v>103</v>
      </c>
      <c r="B14" s="20" t="s">
        <v>135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1" t="s">
        <v>125</v>
      </c>
    </row>
    <row r="15" spans="1:14" ht="19.95" customHeight="1" x14ac:dyDescent="0.3">
      <c r="A15" s="19" t="s">
        <v>110</v>
      </c>
      <c r="B15" s="23" t="s">
        <v>136</v>
      </c>
      <c r="C15" s="24"/>
      <c r="D15" s="21" t="s">
        <v>125</v>
      </c>
      <c r="E15" s="24"/>
      <c r="F15" s="24"/>
      <c r="G15" s="24"/>
      <c r="H15" s="24"/>
      <c r="I15" s="24"/>
      <c r="J15" s="24"/>
      <c r="K15" s="24"/>
      <c r="L15" s="24"/>
      <c r="M15" s="24"/>
      <c r="N15" s="21" t="s">
        <v>125</v>
      </c>
    </row>
    <row r="17" spans="1:14" ht="22.05" customHeight="1" x14ac:dyDescent="0.3">
      <c r="A17" s="89" t="s">
        <v>137</v>
      </c>
      <c r="B17" s="68"/>
      <c r="C17" s="59">
        <f t="shared" ref="C17:N17" si="0">IFERROR(COUNTIF(C4:C15,"✓")/COUNTA(C4:C15),"")</f>
        <v>1</v>
      </c>
      <c r="D17" s="25">
        <f t="shared" si="0"/>
        <v>1</v>
      </c>
      <c r="E17" s="25">
        <f t="shared" si="0"/>
        <v>1</v>
      </c>
      <c r="F17" s="25">
        <f t="shared" si="0"/>
        <v>1</v>
      </c>
      <c r="G17" s="25">
        <f t="shared" si="0"/>
        <v>1</v>
      </c>
      <c r="H17" s="25">
        <f t="shared" si="0"/>
        <v>1</v>
      </c>
      <c r="I17" s="25">
        <f t="shared" si="0"/>
        <v>1</v>
      </c>
      <c r="J17" s="25">
        <f t="shared" si="0"/>
        <v>1</v>
      </c>
      <c r="K17" s="25">
        <f t="shared" si="0"/>
        <v>1</v>
      </c>
      <c r="L17" s="25">
        <f t="shared" si="0"/>
        <v>1</v>
      </c>
      <c r="M17" s="25">
        <f t="shared" si="0"/>
        <v>1</v>
      </c>
      <c r="N17" s="25">
        <f t="shared" si="0"/>
        <v>1</v>
      </c>
    </row>
  </sheetData>
  <mergeCells count="5">
    <mergeCell ref="A1:M1"/>
    <mergeCell ref="G2:K2"/>
    <mergeCell ref="C2:F2"/>
    <mergeCell ref="A17:B17"/>
    <mergeCell ref="L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workbookViewId="0">
      <selection activeCell="A18" sqref="A18:F18"/>
    </sheetView>
  </sheetViews>
  <sheetFormatPr baseColWidth="10" defaultColWidth="8.796875" defaultRowHeight="14.4" x14ac:dyDescent="0.3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10" ht="42" customHeight="1" x14ac:dyDescent="0.3">
      <c r="A1" s="84" t="s">
        <v>138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" customHeight="1" x14ac:dyDescent="0.3">
      <c r="A2" s="114" t="s">
        <v>139</v>
      </c>
      <c r="B2" s="63"/>
      <c r="C2" s="63"/>
      <c r="D2" s="63"/>
      <c r="E2" s="63"/>
      <c r="F2" s="63"/>
      <c r="G2" s="63"/>
      <c r="H2" s="63"/>
      <c r="I2" s="63"/>
      <c r="J2" s="63"/>
    </row>
    <row r="3" spans="1:10" ht="10.050000000000001" customHeight="1" x14ac:dyDescent="0.3"/>
    <row r="4" spans="1:10" ht="18" customHeight="1" x14ac:dyDescent="0.3">
      <c r="A4" s="111" t="s">
        <v>140</v>
      </c>
      <c r="B4" s="68"/>
      <c r="C4" s="97" t="s">
        <v>141</v>
      </c>
      <c r="D4" s="65"/>
      <c r="E4" s="98" t="s">
        <v>95</v>
      </c>
      <c r="F4" s="65"/>
      <c r="G4" s="112" t="s">
        <v>142</v>
      </c>
      <c r="H4" s="65"/>
      <c r="I4" s="113" t="s">
        <v>143</v>
      </c>
      <c r="J4" s="65"/>
    </row>
    <row r="5" spans="1:10" ht="40.049999999999997" customHeight="1" x14ac:dyDescent="0.3">
      <c r="A5" s="108">
        <f>COUNTA('📋 Matriz principal'!A4:A103)</f>
        <v>11</v>
      </c>
      <c r="B5" s="68"/>
      <c r="C5" s="92">
        <f>COUNTIF('📋 Matriz principal'!O4:O103,"Verificado")</f>
        <v>0</v>
      </c>
      <c r="D5" s="65"/>
      <c r="E5" s="93">
        <f>COUNTIF('📋 Matriz principal'!O4:O103,"En desarrollo")</f>
        <v>1</v>
      </c>
      <c r="F5" s="65"/>
      <c r="G5" s="109">
        <f>COUNTIF('📋 Matriz principal'!O4:O103,"Bloqueado")+COUNTIF('📋 Matriz principal'!M4:M103,"Fallido")</f>
        <v>0</v>
      </c>
      <c r="H5" s="65"/>
      <c r="I5" s="110">
        <f>COUNTIF('📋 Matriz principal'!L4:L103,"")-MAX(0,COUNTA('📋 Matriz principal'!A4:A103)-COUNTA('📋 Matriz principal'!L4:L103))</f>
        <v>89</v>
      </c>
      <c r="J5" s="65"/>
    </row>
    <row r="6" spans="1:10" ht="22.05" customHeight="1" x14ac:dyDescent="0.3">
      <c r="A6" s="68"/>
      <c r="B6" s="68"/>
      <c r="C6" s="106"/>
      <c r="D6" s="65"/>
      <c r="E6" s="107"/>
      <c r="F6" s="65"/>
      <c r="G6" s="100"/>
      <c r="H6" s="65"/>
      <c r="I6" s="115"/>
      <c r="J6" s="65"/>
    </row>
    <row r="7" spans="1:10" ht="16.05" customHeight="1" x14ac:dyDescent="0.3"/>
    <row r="8" spans="1:10" ht="19.95" customHeight="1" x14ac:dyDescent="0.3">
      <c r="A8" s="91" t="s">
        <v>144</v>
      </c>
      <c r="B8" s="68"/>
      <c r="C8" s="68"/>
      <c r="D8" s="68"/>
      <c r="E8" s="68"/>
      <c r="F8" s="68"/>
      <c r="G8" s="68"/>
      <c r="H8" s="68"/>
      <c r="I8" s="68"/>
      <c r="J8" s="68"/>
    </row>
    <row r="9" spans="1:10" ht="18" customHeight="1" x14ac:dyDescent="0.3">
      <c r="A9" s="49" t="s">
        <v>101</v>
      </c>
      <c r="B9" s="50" t="s">
        <v>145</v>
      </c>
      <c r="C9" s="51" t="s">
        <v>95</v>
      </c>
      <c r="D9" s="50" t="s">
        <v>146</v>
      </c>
      <c r="E9" s="52" t="s">
        <v>67</v>
      </c>
      <c r="F9" s="53" t="s">
        <v>147</v>
      </c>
      <c r="G9" s="54" t="s">
        <v>148</v>
      </c>
      <c r="H9" s="55" t="s">
        <v>149</v>
      </c>
    </row>
    <row r="10" spans="1:10" ht="24" customHeight="1" x14ac:dyDescent="0.3">
      <c r="A10" s="26">
        <f>COUNTIF('📋 Matriz principal'!O4:O103,"Propuesto")</f>
        <v>10</v>
      </c>
      <c r="B10" s="27">
        <f>COUNTIF('📋 Matriz principal'!O4:O103,"Aprobado")</f>
        <v>0</v>
      </c>
      <c r="C10" s="28">
        <f>COUNTIF('📋 Matriz principal'!O4:O103,"En desarrollo")</f>
        <v>1</v>
      </c>
      <c r="D10" s="27">
        <f>COUNTIF('📋 Matriz principal'!O4:O103,"Implementado")</f>
        <v>0</v>
      </c>
      <c r="E10" s="29">
        <f>COUNTIF('📋 Matriz principal'!O4:O103,"Verificado")</f>
        <v>0</v>
      </c>
      <c r="F10" s="30">
        <f>COUNTIF('📋 Matriz principal'!O4:O103,"Aplazado")</f>
        <v>0</v>
      </c>
      <c r="G10" s="31">
        <f>COUNTIF('📋 Matriz principal'!O4:O103,"Rechazado")</f>
        <v>0</v>
      </c>
      <c r="H10" s="32">
        <f>COUNTIF('📋 Matriz principal'!O4:O103,"Archivado")</f>
        <v>0</v>
      </c>
    </row>
    <row r="11" spans="1:10" ht="16.05" customHeight="1" x14ac:dyDescent="0.3"/>
    <row r="12" spans="1:10" ht="19.95" customHeight="1" x14ac:dyDescent="0.3">
      <c r="A12" s="91" t="s">
        <v>150</v>
      </c>
      <c r="B12" s="68"/>
      <c r="C12" s="68"/>
      <c r="D12" s="68"/>
      <c r="E12" s="68"/>
      <c r="F12" s="68"/>
      <c r="G12" s="68"/>
      <c r="H12" s="68"/>
    </row>
    <row r="13" spans="1:10" ht="18" customHeight="1" x14ac:dyDescent="0.3">
      <c r="A13" s="104" t="s">
        <v>63</v>
      </c>
      <c r="B13" s="65"/>
      <c r="C13" s="105" t="s">
        <v>78</v>
      </c>
      <c r="D13" s="65"/>
      <c r="E13" s="99" t="s">
        <v>100</v>
      </c>
      <c r="F13" s="65"/>
      <c r="G13" s="101" t="s">
        <v>151</v>
      </c>
      <c r="H13" s="65"/>
    </row>
    <row r="14" spans="1:10" ht="24" customHeight="1" x14ac:dyDescent="0.3">
      <c r="A14" s="102">
        <f>COUNTIF('📋 Matriz principal'!F4:F103,"Must have")</f>
        <v>2</v>
      </c>
      <c r="B14" s="65"/>
      <c r="C14" s="94">
        <f>COUNTIF('📋 Matriz principal'!F4:F103,"Should have")</f>
        <v>5</v>
      </c>
      <c r="D14" s="65"/>
      <c r="E14" s="95">
        <f>COUNTIF('📋 Matriz principal'!F4:F103,"Could have")</f>
        <v>2</v>
      </c>
      <c r="F14" s="65"/>
      <c r="G14" s="103">
        <f>COUNTIF('📋 Matriz principal'!F4:F103,"Won't have")</f>
        <v>1</v>
      </c>
      <c r="H14" s="65"/>
    </row>
    <row r="15" spans="1:10" ht="16.05" customHeight="1" x14ac:dyDescent="0.3"/>
    <row r="16" spans="1:10" ht="19.95" customHeight="1" x14ac:dyDescent="0.3">
      <c r="A16" s="91" t="s">
        <v>152</v>
      </c>
      <c r="B16" s="68"/>
      <c r="C16" s="68"/>
      <c r="D16" s="68"/>
      <c r="E16" s="68"/>
      <c r="F16" s="68"/>
      <c r="G16" s="68"/>
      <c r="H16" s="68"/>
    </row>
    <row r="17" spans="1:6" ht="18" customHeight="1" x14ac:dyDescent="0.3">
      <c r="A17" s="56" t="s">
        <v>115</v>
      </c>
      <c r="B17" s="56" t="s">
        <v>153</v>
      </c>
      <c r="C17" s="56" t="s">
        <v>154</v>
      </c>
      <c r="D17" s="56" t="s">
        <v>155</v>
      </c>
      <c r="E17" s="56" t="s">
        <v>156</v>
      </c>
      <c r="F17" s="56" t="s">
        <v>157</v>
      </c>
    </row>
    <row r="18" spans="1:6" ht="19.95" customHeight="1" x14ac:dyDescent="0.3">
      <c r="A18" s="96" t="s">
        <v>158</v>
      </c>
      <c r="B18" s="63"/>
      <c r="C18" s="63"/>
      <c r="D18" s="63"/>
      <c r="E18" s="63"/>
      <c r="F18" s="63"/>
    </row>
  </sheetData>
  <mergeCells count="29">
    <mergeCell ref="A1:J1"/>
    <mergeCell ref="E6:F6"/>
    <mergeCell ref="A5:B5"/>
    <mergeCell ref="G5:H5"/>
    <mergeCell ref="I5:J5"/>
    <mergeCell ref="A4:B4"/>
    <mergeCell ref="G4:H4"/>
    <mergeCell ref="I4:J4"/>
    <mergeCell ref="A2:J2"/>
    <mergeCell ref="I6:J6"/>
    <mergeCell ref="A18:F18"/>
    <mergeCell ref="A6:B6"/>
    <mergeCell ref="C4:D4"/>
    <mergeCell ref="E4:F4"/>
    <mergeCell ref="A16:H16"/>
    <mergeCell ref="E13:F13"/>
    <mergeCell ref="G6:H6"/>
    <mergeCell ref="G13:H13"/>
    <mergeCell ref="A12:H12"/>
    <mergeCell ref="A14:B14"/>
    <mergeCell ref="G14:H14"/>
    <mergeCell ref="A13:B13"/>
    <mergeCell ref="C13:D13"/>
    <mergeCell ref="C6:D6"/>
    <mergeCell ref="A8:J8"/>
    <mergeCell ref="C5:D5"/>
    <mergeCell ref="E5:F5"/>
    <mergeCell ref="C14:D14"/>
    <mergeCell ref="E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workbookViewId="0">
      <pane ySplit="2" topLeftCell="A3" activePane="bottomLeft" state="frozen"/>
      <selection pane="bottomLeft" activeCell="S3" sqref="S3"/>
    </sheetView>
  </sheetViews>
  <sheetFormatPr baseColWidth="10" defaultColWidth="8.796875" defaultRowHeight="14.4" x14ac:dyDescent="0.3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13" ht="36" customHeight="1" x14ac:dyDescent="0.3">
      <c r="A1" s="60" t="s">
        <v>159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36" customHeight="1" x14ac:dyDescent="0.3">
      <c r="A2" s="46" t="s">
        <v>160</v>
      </c>
      <c r="B2" s="47" t="s">
        <v>161</v>
      </c>
      <c r="C2" s="48" t="s">
        <v>162</v>
      </c>
      <c r="D2" s="46" t="s">
        <v>163</v>
      </c>
      <c r="E2" s="46" t="s">
        <v>154</v>
      </c>
      <c r="F2" s="46" t="s">
        <v>164</v>
      </c>
      <c r="G2" s="46" t="s">
        <v>165</v>
      </c>
      <c r="H2" s="46" t="s">
        <v>166</v>
      </c>
      <c r="I2" s="46" t="s">
        <v>167</v>
      </c>
      <c r="J2" s="46" t="s">
        <v>168</v>
      </c>
      <c r="K2" s="46" t="s">
        <v>169</v>
      </c>
      <c r="L2" s="46" t="s">
        <v>170</v>
      </c>
      <c r="M2" s="46" t="s">
        <v>171</v>
      </c>
    </row>
    <row r="3" spans="1:13" ht="30" customHeight="1" x14ac:dyDescent="0.3">
      <c r="A3" s="41" t="s">
        <v>68</v>
      </c>
      <c r="B3" s="42" t="s">
        <v>172</v>
      </c>
      <c r="C3" s="42" t="s">
        <v>62</v>
      </c>
      <c r="D3" s="43" t="s">
        <v>173</v>
      </c>
      <c r="E3" s="44" t="s">
        <v>174</v>
      </c>
      <c r="F3" s="42" t="s">
        <v>175</v>
      </c>
      <c r="G3" s="42" t="s">
        <v>176</v>
      </c>
      <c r="H3" s="45" t="s">
        <v>177</v>
      </c>
      <c r="I3" s="43" t="s">
        <v>178</v>
      </c>
      <c r="J3" s="42" t="s">
        <v>65</v>
      </c>
      <c r="K3" s="43" t="s">
        <v>106</v>
      </c>
      <c r="L3" s="45" t="s">
        <v>179</v>
      </c>
      <c r="M3" s="42" t="s">
        <v>180</v>
      </c>
    </row>
    <row r="4" spans="1:13" ht="30" customHeight="1" x14ac:dyDescent="0.3">
      <c r="A4" s="33" t="s">
        <v>82</v>
      </c>
      <c r="B4" s="1" t="s">
        <v>181</v>
      </c>
      <c r="C4" s="1" t="s">
        <v>77</v>
      </c>
      <c r="D4" s="9" t="s">
        <v>102</v>
      </c>
      <c r="E4" s="15" t="s">
        <v>182</v>
      </c>
      <c r="F4" s="1" t="s">
        <v>75</v>
      </c>
      <c r="G4" s="1" t="s">
        <v>183</v>
      </c>
      <c r="H4" s="11" t="s">
        <v>177</v>
      </c>
      <c r="I4" s="9" t="s">
        <v>184</v>
      </c>
      <c r="J4" s="1" t="s">
        <v>80</v>
      </c>
      <c r="K4" s="9" t="s">
        <v>79</v>
      </c>
      <c r="L4" s="11" t="s">
        <v>179</v>
      </c>
      <c r="M4" s="1" t="s">
        <v>185</v>
      </c>
    </row>
    <row r="5" spans="1:13" ht="30" customHeight="1" x14ac:dyDescent="0.3">
      <c r="A5" s="33" t="s">
        <v>96</v>
      </c>
      <c r="B5" s="2" t="s">
        <v>186</v>
      </c>
      <c r="C5" s="2" t="s">
        <v>187</v>
      </c>
      <c r="D5" s="13" t="s">
        <v>188</v>
      </c>
      <c r="E5" s="14" t="s">
        <v>174</v>
      </c>
      <c r="F5" s="2" t="s">
        <v>91</v>
      </c>
      <c r="G5" s="2" t="s">
        <v>189</v>
      </c>
      <c r="H5" s="11" t="s">
        <v>177</v>
      </c>
      <c r="I5" s="13" t="s">
        <v>94</v>
      </c>
      <c r="J5" s="2" t="s">
        <v>88</v>
      </c>
      <c r="K5" s="13" t="s">
        <v>190</v>
      </c>
      <c r="L5" s="14" t="s">
        <v>191</v>
      </c>
      <c r="M5" s="2" t="s">
        <v>192</v>
      </c>
    </row>
    <row r="6" spans="1:13" ht="30" customHeight="1" x14ac:dyDescent="0.3">
      <c r="A6" s="33" t="s">
        <v>109</v>
      </c>
      <c r="B6" s="1" t="s">
        <v>193</v>
      </c>
      <c r="C6" s="1" t="s">
        <v>105</v>
      </c>
      <c r="D6" s="9" t="s">
        <v>94</v>
      </c>
      <c r="E6" s="10" t="s">
        <v>194</v>
      </c>
      <c r="F6" s="1" t="s">
        <v>195</v>
      </c>
      <c r="G6" s="1" t="s">
        <v>196</v>
      </c>
      <c r="H6" s="14" t="s">
        <v>191</v>
      </c>
      <c r="I6" s="9"/>
      <c r="J6" s="1" t="s">
        <v>73</v>
      </c>
      <c r="K6" s="9" t="s">
        <v>190</v>
      </c>
      <c r="L6" s="15" t="s">
        <v>197</v>
      </c>
      <c r="M6" s="1" t="s">
        <v>198</v>
      </c>
    </row>
    <row r="7" spans="1:13" ht="30" customHeight="1" x14ac:dyDescent="0.3">
      <c r="A7" s="33" t="s">
        <v>199</v>
      </c>
      <c r="B7" s="2" t="s">
        <v>200</v>
      </c>
      <c r="C7" s="2" t="s">
        <v>201</v>
      </c>
      <c r="D7" s="13" t="s">
        <v>202</v>
      </c>
      <c r="E7" s="15" t="s">
        <v>182</v>
      </c>
      <c r="F7" s="2" t="s">
        <v>203</v>
      </c>
      <c r="G7" s="2" t="s">
        <v>204</v>
      </c>
      <c r="H7" s="10" t="s">
        <v>205</v>
      </c>
      <c r="I7" s="13" t="s">
        <v>206</v>
      </c>
      <c r="J7" s="2"/>
      <c r="K7" s="13"/>
      <c r="L7" s="10" t="s">
        <v>205</v>
      </c>
      <c r="M7" s="2" t="s">
        <v>207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workbookViewId="0">
      <pane ySplit="2" topLeftCell="A3" activePane="bottomLeft" state="frozen"/>
      <selection pane="bottomLeft" activeCell="K7" sqref="K7"/>
    </sheetView>
  </sheetViews>
  <sheetFormatPr baseColWidth="10" defaultColWidth="8.796875" defaultRowHeight="14.4" x14ac:dyDescent="0.3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7" ht="36" customHeight="1" x14ac:dyDescent="0.3">
      <c r="A1" s="60" t="s">
        <v>208</v>
      </c>
      <c r="B1" s="61"/>
      <c r="C1" s="61"/>
      <c r="D1" s="61"/>
      <c r="E1" s="61"/>
      <c r="F1" s="61"/>
      <c r="G1" s="61"/>
    </row>
    <row r="2" spans="1:7" ht="34.049999999999997" customHeight="1" x14ac:dyDescent="0.3">
      <c r="A2" s="57" t="s">
        <v>209</v>
      </c>
      <c r="B2" s="58" t="s">
        <v>44</v>
      </c>
      <c r="C2" s="39" t="s">
        <v>210</v>
      </c>
      <c r="D2" s="58" t="s">
        <v>211</v>
      </c>
      <c r="E2" s="58" t="s">
        <v>212</v>
      </c>
      <c r="F2" s="58" t="s">
        <v>213</v>
      </c>
      <c r="G2" s="40" t="s">
        <v>214</v>
      </c>
    </row>
    <row r="3" spans="1:7" ht="22.05" customHeight="1" x14ac:dyDescent="0.3">
      <c r="A3" s="33" t="s">
        <v>215</v>
      </c>
      <c r="B3" s="15" t="s">
        <v>216</v>
      </c>
      <c r="C3" s="2" t="s">
        <v>217</v>
      </c>
      <c r="D3" s="13" t="s">
        <v>218</v>
      </c>
      <c r="E3" s="2" t="s">
        <v>65</v>
      </c>
      <c r="F3" s="13" t="s">
        <v>66</v>
      </c>
      <c r="G3" s="2" t="s">
        <v>219</v>
      </c>
    </row>
    <row r="4" spans="1:7" ht="22.05" customHeight="1" x14ac:dyDescent="0.3">
      <c r="A4" s="33" t="s">
        <v>220</v>
      </c>
      <c r="B4" s="15" t="s">
        <v>216</v>
      </c>
      <c r="C4" s="1" t="s">
        <v>221</v>
      </c>
      <c r="D4" s="9" t="s">
        <v>222</v>
      </c>
      <c r="E4" s="1" t="s">
        <v>88</v>
      </c>
      <c r="F4" s="9" t="s">
        <v>89</v>
      </c>
      <c r="G4" s="1" t="s">
        <v>223</v>
      </c>
    </row>
    <row r="5" spans="1:7" ht="22.05" customHeight="1" x14ac:dyDescent="0.3">
      <c r="A5" s="33" t="s">
        <v>224</v>
      </c>
      <c r="B5" s="15" t="s">
        <v>216</v>
      </c>
      <c r="C5" s="2" t="s">
        <v>225</v>
      </c>
      <c r="D5" s="13" t="s">
        <v>226</v>
      </c>
      <c r="E5" s="2" t="s">
        <v>73</v>
      </c>
      <c r="F5" s="13" t="s">
        <v>108</v>
      </c>
      <c r="G5" s="2" t="s">
        <v>195</v>
      </c>
    </row>
    <row r="6" spans="1:7" ht="22.05" customHeight="1" x14ac:dyDescent="0.3">
      <c r="A6" s="33" t="s">
        <v>117</v>
      </c>
      <c r="B6" s="11" t="s">
        <v>227</v>
      </c>
      <c r="C6" s="1" t="s">
        <v>228</v>
      </c>
      <c r="D6" s="9" t="s">
        <v>229</v>
      </c>
      <c r="E6" s="1" t="s">
        <v>187</v>
      </c>
      <c r="F6" s="9" t="s">
        <v>66</v>
      </c>
      <c r="G6" s="1" t="s">
        <v>59</v>
      </c>
    </row>
    <row r="7" spans="1:7" ht="22.05" customHeight="1" x14ac:dyDescent="0.3">
      <c r="A7" s="33" t="s">
        <v>230</v>
      </c>
      <c r="B7" s="11" t="s">
        <v>227</v>
      </c>
      <c r="C7" s="2" t="s">
        <v>231</v>
      </c>
      <c r="D7" s="13" t="s">
        <v>229</v>
      </c>
      <c r="E7" s="2" t="s">
        <v>187</v>
      </c>
      <c r="F7" s="13" t="s">
        <v>66</v>
      </c>
      <c r="G7" s="2" t="s">
        <v>232</v>
      </c>
    </row>
    <row r="8" spans="1:7" ht="22.05" customHeight="1" x14ac:dyDescent="0.3">
      <c r="A8" s="33" t="s">
        <v>70</v>
      </c>
      <c r="B8" s="11" t="s">
        <v>227</v>
      </c>
      <c r="C8" s="1" t="s">
        <v>233</v>
      </c>
      <c r="D8" s="9" t="s">
        <v>234</v>
      </c>
      <c r="E8" s="1" t="s">
        <v>187</v>
      </c>
      <c r="F8" s="9" t="s">
        <v>66</v>
      </c>
      <c r="G8" s="1" t="s">
        <v>69</v>
      </c>
    </row>
    <row r="9" spans="1:7" ht="22.05" customHeight="1" x14ac:dyDescent="0.3">
      <c r="A9" s="33" t="s">
        <v>118</v>
      </c>
      <c r="B9" s="11" t="s">
        <v>227</v>
      </c>
      <c r="C9" s="2" t="s">
        <v>235</v>
      </c>
      <c r="D9" s="13" t="s">
        <v>226</v>
      </c>
      <c r="E9" s="2" t="s">
        <v>187</v>
      </c>
      <c r="F9" s="13" t="s">
        <v>74</v>
      </c>
      <c r="G9" s="2" t="s">
        <v>71</v>
      </c>
    </row>
    <row r="10" spans="1:7" ht="22.05" customHeight="1" x14ac:dyDescent="0.3">
      <c r="A10" s="33" t="s">
        <v>119</v>
      </c>
      <c r="B10" s="11" t="s">
        <v>227</v>
      </c>
      <c r="C10" s="1" t="s">
        <v>236</v>
      </c>
      <c r="D10" s="9" t="s">
        <v>226</v>
      </c>
      <c r="E10" s="1" t="s">
        <v>187</v>
      </c>
      <c r="F10" s="9" t="s">
        <v>81</v>
      </c>
      <c r="G10" s="1" t="s">
        <v>75</v>
      </c>
    </row>
    <row r="11" spans="1:7" ht="22.05" customHeight="1" x14ac:dyDescent="0.3">
      <c r="A11" s="33" t="s">
        <v>120</v>
      </c>
      <c r="B11" s="11" t="s">
        <v>227</v>
      </c>
      <c r="C11" s="2" t="s">
        <v>237</v>
      </c>
      <c r="D11" s="13" t="s">
        <v>226</v>
      </c>
      <c r="E11" s="2" t="s">
        <v>187</v>
      </c>
      <c r="F11" s="13" t="s">
        <v>89</v>
      </c>
      <c r="G11" s="2" t="s">
        <v>86</v>
      </c>
    </row>
    <row r="12" spans="1:7" ht="22.05" customHeight="1" x14ac:dyDescent="0.3">
      <c r="A12" s="33" t="s">
        <v>93</v>
      </c>
      <c r="B12" s="11" t="s">
        <v>227</v>
      </c>
      <c r="C12" s="1" t="s">
        <v>238</v>
      </c>
      <c r="D12" s="9" t="s">
        <v>226</v>
      </c>
      <c r="E12" s="1" t="s">
        <v>187</v>
      </c>
      <c r="F12" s="9" t="s">
        <v>94</v>
      </c>
      <c r="G12" s="1" t="s">
        <v>91</v>
      </c>
    </row>
    <row r="13" spans="1:7" ht="22.05" customHeight="1" x14ac:dyDescent="0.3">
      <c r="A13" s="33" t="s">
        <v>107</v>
      </c>
      <c r="B13" s="11" t="s">
        <v>227</v>
      </c>
      <c r="C13" s="2" t="s">
        <v>239</v>
      </c>
      <c r="D13" s="13" t="s">
        <v>240</v>
      </c>
      <c r="E13" s="2" t="s">
        <v>187</v>
      </c>
      <c r="F13" s="13" t="s">
        <v>108</v>
      </c>
      <c r="G13" s="2" t="s">
        <v>103</v>
      </c>
    </row>
    <row r="14" spans="1:7" ht="22.05" customHeight="1" x14ac:dyDescent="0.3">
      <c r="A14" s="33" t="s">
        <v>241</v>
      </c>
      <c r="B14" s="34" t="s">
        <v>242</v>
      </c>
      <c r="C14" s="1" t="s">
        <v>243</v>
      </c>
      <c r="D14" s="9" t="s">
        <v>244</v>
      </c>
      <c r="E14" s="1" t="s">
        <v>65</v>
      </c>
      <c r="F14" s="9" t="s">
        <v>66</v>
      </c>
      <c r="G14" s="1" t="s">
        <v>175</v>
      </c>
    </row>
    <row r="15" spans="1:7" ht="22.05" customHeight="1" x14ac:dyDescent="0.3">
      <c r="A15" s="33" t="s">
        <v>245</v>
      </c>
      <c r="B15" s="34" t="s">
        <v>242</v>
      </c>
      <c r="C15" s="2" t="s">
        <v>246</v>
      </c>
      <c r="D15" s="13" t="s">
        <v>247</v>
      </c>
      <c r="E15" s="2" t="s">
        <v>80</v>
      </c>
      <c r="F15" s="13" t="s">
        <v>81</v>
      </c>
      <c r="G15" s="2" t="s">
        <v>75</v>
      </c>
    </row>
    <row r="16" spans="1:7" ht="22.05" customHeight="1" x14ac:dyDescent="0.3">
      <c r="A16" s="33" t="s">
        <v>248</v>
      </c>
      <c r="B16" s="34" t="s">
        <v>242</v>
      </c>
      <c r="C16" s="1" t="s">
        <v>249</v>
      </c>
      <c r="D16" s="9" t="s">
        <v>250</v>
      </c>
      <c r="E16" s="1" t="s">
        <v>73</v>
      </c>
      <c r="F16" s="9" t="s">
        <v>85</v>
      </c>
      <c r="G16" s="1" t="s">
        <v>83</v>
      </c>
    </row>
    <row r="17" spans="1:7" ht="22.05" customHeight="1" x14ac:dyDescent="0.3">
      <c r="A17" s="33" t="s">
        <v>251</v>
      </c>
      <c r="B17" s="34" t="s">
        <v>242</v>
      </c>
      <c r="C17" s="2" t="s">
        <v>252</v>
      </c>
      <c r="D17" s="13" t="s">
        <v>253</v>
      </c>
      <c r="E17" s="2" t="s">
        <v>88</v>
      </c>
      <c r="F17" s="13" t="s">
        <v>94</v>
      </c>
      <c r="G17" s="2" t="s">
        <v>223</v>
      </c>
    </row>
    <row r="18" spans="1:7" ht="22.05" customHeight="1" x14ac:dyDescent="0.3">
      <c r="A18" s="33" t="s">
        <v>254</v>
      </c>
      <c r="B18" s="34" t="s">
        <v>242</v>
      </c>
      <c r="C18" s="1" t="s">
        <v>255</v>
      </c>
      <c r="D18" s="9" t="s">
        <v>256</v>
      </c>
      <c r="E18" s="1" t="s">
        <v>73</v>
      </c>
      <c r="F18" s="9" t="s">
        <v>108</v>
      </c>
      <c r="G18" s="1" t="s">
        <v>195</v>
      </c>
    </row>
    <row r="19" spans="1:7" ht="22.05" customHeight="1" x14ac:dyDescent="0.3">
      <c r="A19" s="33" t="s">
        <v>257</v>
      </c>
      <c r="B19" s="35" t="s">
        <v>258</v>
      </c>
      <c r="C19" s="2" t="s">
        <v>259</v>
      </c>
      <c r="D19" s="13" t="s">
        <v>218</v>
      </c>
      <c r="E19" s="2" t="s">
        <v>260</v>
      </c>
      <c r="F19" s="13" t="s">
        <v>66</v>
      </c>
      <c r="G19" s="2" t="s">
        <v>261</v>
      </c>
    </row>
    <row r="20" spans="1:7" ht="22.05" customHeight="1" x14ac:dyDescent="0.3">
      <c r="A20" s="33" t="s">
        <v>262</v>
      </c>
      <c r="B20" s="35" t="s">
        <v>258</v>
      </c>
      <c r="C20" s="1" t="s">
        <v>263</v>
      </c>
      <c r="D20" s="9" t="s">
        <v>222</v>
      </c>
      <c r="E20" s="1" t="s">
        <v>260</v>
      </c>
      <c r="F20" s="9" t="s">
        <v>89</v>
      </c>
      <c r="G20" s="1" t="s">
        <v>264</v>
      </c>
    </row>
    <row r="21" spans="1:7" ht="22.05" customHeight="1" x14ac:dyDescent="0.3">
      <c r="A21" s="33" t="s">
        <v>265</v>
      </c>
      <c r="B21" s="14" t="s">
        <v>266</v>
      </c>
      <c r="C21" s="2" t="s">
        <v>267</v>
      </c>
      <c r="D21" s="13" t="s">
        <v>268</v>
      </c>
      <c r="E21" s="2" t="s">
        <v>269</v>
      </c>
      <c r="F21" s="13" t="s">
        <v>94</v>
      </c>
      <c r="G21" s="2" t="s">
        <v>270</v>
      </c>
    </row>
    <row r="22" spans="1:7" ht="22.05" customHeight="1" x14ac:dyDescent="0.3">
      <c r="A22" s="33" t="s">
        <v>271</v>
      </c>
      <c r="B22" s="33" t="s">
        <v>272</v>
      </c>
      <c r="C22" s="1" t="s">
        <v>273</v>
      </c>
      <c r="D22" s="9" t="s">
        <v>229</v>
      </c>
      <c r="E22" s="1" t="s">
        <v>274</v>
      </c>
      <c r="F22" s="9" t="s">
        <v>275</v>
      </c>
      <c r="G22" s="1" t="s">
        <v>276</v>
      </c>
    </row>
  </sheetData>
  <mergeCells count="1"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7783753953547B7FC3082537267E2" ma:contentTypeVersion="16" ma:contentTypeDescription="Crear nuevo documento." ma:contentTypeScope="" ma:versionID="97f381565d65a23fbab7622fd5bbd77c">
  <xsd:schema xmlns:xsd="http://www.w3.org/2001/XMLSchema" xmlns:xs="http://www.w3.org/2001/XMLSchema" xmlns:p="http://schemas.microsoft.com/office/2006/metadata/properties" xmlns:ns2="20f40e83-ecb3-43fa-824b-804cfaa06ae1" xmlns:ns3="235c63eb-f668-470d-b3f1-37dd36c10e53" targetNamespace="http://schemas.microsoft.com/office/2006/metadata/properties" ma:root="true" ma:fieldsID="384a28825f511d7fb1a23e564ac813ca" ns2:_="" ns3:_="">
    <xsd:import namespace="20f40e83-ecb3-43fa-824b-804cfaa06ae1"/>
    <xsd:import namespace="235c63eb-f668-470d-b3f1-37dd36c10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40e83-ecb3-43fa-824b-804cfaa06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c63eb-f668-470d-b3f1-37dd36c10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c2ce880-6467-41cd-b587-0c9b93940179}" ma:internalName="TaxCatchAll" ma:showField="CatchAllData" ma:web="235c63eb-f668-470d-b3f1-37dd36c10e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40e83-ecb3-43fa-824b-804cfaa06ae1">
      <Terms xmlns="http://schemas.microsoft.com/office/infopath/2007/PartnerControls"/>
    </lcf76f155ced4ddcb4097134ff3c332f>
    <TaxCatchAll xmlns="235c63eb-f668-470d-b3f1-37dd36c10e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97FADA-230E-421D-902C-6A09AEBE6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40e83-ecb3-43fa-824b-804cfaa06ae1"/>
    <ds:schemaRef ds:uri="235c63eb-f668-470d-b3f1-37dd36c10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00DF8F-8742-4588-BA38-4C9291302F57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235c63eb-f668-470d-b3f1-37dd36c10e53"/>
    <ds:schemaRef ds:uri="http://schemas.microsoft.com/office/infopath/2007/PartnerControls"/>
    <ds:schemaRef ds:uri="20f40e83-ecb3-43fa-824b-804cfaa06ae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64DBCF0-324E-4B44-A671-7E23C402F1C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Sebastian Caicedo Araujo</cp:lastModifiedBy>
  <cp:revision/>
  <dcterms:created xsi:type="dcterms:W3CDTF">2026-06-17T01:22:24Z</dcterms:created>
  <dcterms:modified xsi:type="dcterms:W3CDTF">2026-09-22T02:59:49Z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